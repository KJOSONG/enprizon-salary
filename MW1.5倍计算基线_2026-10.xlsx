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osong/AI专用分析文件/enprizon-salary/"/>
    </mc:Choice>
  </mc:AlternateContent>
  <xr:revisionPtr revIDLastSave="0" documentId="13_ncr:1_{EB12A994-A708-5540-96A7-CBBA0160A755}" xr6:coauthVersionLast="47" xr6:coauthVersionMax="47" xr10:uidLastSave="{00000000-0000-0000-0000-000000000000}"/>
  <bookViews>
    <workbookView xWindow="0" yWindow="660" windowWidth="30240" windowHeight="17700" tabRatio="500" activeTab="1" xr2:uid="{00000000-000D-0000-FFFF-FFFF00000000}"/>
  </bookViews>
  <sheets>
    <sheet name="确认清单1.5倍MW" sheetId="1" r:id="rId1"/>
    <sheet name="班组每日池与出勤基线" sheetId="2" r:id="rId2"/>
    <sheet name="1.5倍增量分摊预览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D22" i="3"/>
  <c r="F22" i="3" s="1"/>
  <c r="D21" i="3"/>
  <c r="F21" i="3" s="1"/>
  <c r="D20" i="3"/>
  <c r="F20" i="3" s="1"/>
  <c r="D19" i="3"/>
  <c r="F19" i="3" s="1"/>
  <c r="D18" i="3"/>
  <c r="F18" i="3" s="1"/>
  <c r="D17" i="3"/>
  <c r="F17" i="3" s="1"/>
  <c r="D16" i="3"/>
  <c r="F16" i="3" s="1"/>
  <c r="D15" i="3"/>
  <c r="F15" i="3" s="1"/>
  <c r="D14" i="3"/>
  <c r="F14" i="3" s="1"/>
  <c r="D13" i="3"/>
  <c r="F13" i="3" s="1"/>
  <c r="D12" i="3"/>
  <c r="F12" i="3" s="1"/>
  <c r="D11" i="3"/>
  <c r="F11" i="3" s="1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D4" i="3"/>
  <c r="F4" i="3" s="1"/>
  <c r="D3" i="3"/>
  <c r="F3" i="3" s="1"/>
  <c r="D2" i="3"/>
  <c r="J99" i="2"/>
  <c r="I99" i="2"/>
  <c r="C23" i="1"/>
  <c r="E22" i="1"/>
  <c r="E21" i="1"/>
  <c r="E20" i="1"/>
  <c r="E19" i="1"/>
  <c r="E18" i="1"/>
  <c r="E17" i="1"/>
  <c r="E16" i="1"/>
  <c r="E15" i="1"/>
  <c r="E14" i="1"/>
  <c r="E13" i="1"/>
  <c r="E12" i="1"/>
  <c r="E23" i="1" s="1"/>
  <c r="E11" i="1"/>
  <c r="E10" i="1"/>
  <c r="E9" i="1"/>
  <c r="E8" i="1"/>
  <c r="E7" i="1"/>
  <c r="E6" i="1"/>
  <c r="E5" i="1"/>
  <c r="E4" i="1"/>
  <c r="E3" i="1"/>
  <c r="E2" i="1"/>
  <c r="D23" i="3" l="1"/>
  <c r="F2" i="3"/>
</calcChain>
</file>

<file path=xl/sharedStrings.xml><?xml version="1.0" encoding="utf-8"?>
<sst xmlns="http://schemas.openxmlformats.org/spreadsheetml/2006/main" count="334" uniqueCount="80">
  <si>
    <t>日期</t>
  </si>
  <si>
    <t>班组</t>
  </si>
  <si>
    <r>
      <rPr>
        <b/>
        <sz val="11"/>
        <color rgb="FFFFFFFF"/>
        <rFont val="Arial Unicode MS"/>
        <family val="2"/>
      </rPr>
      <t>确认</t>
    </r>
    <r>
      <rPr>
        <b/>
        <sz val="11"/>
        <color rgb="FFFFFFFF"/>
        <rFont val="Arial"/>
        <family val="2"/>
      </rPr>
      <t>MW</t>
    </r>
    <r>
      <rPr>
        <b/>
        <sz val="11"/>
        <color rgb="FFFFFFFF"/>
        <rFont val="Arial Unicode MS"/>
        <family val="2"/>
      </rPr>
      <t>车次</t>
    </r>
  </si>
  <si>
    <r>
      <rPr>
        <b/>
        <sz val="11"/>
        <color rgb="FFFFFFFF"/>
        <rFont val="Arial Unicode MS"/>
        <family val="2"/>
      </rPr>
      <t>增量单价</t>
    </r>
    <r>
      <rPr>
        <b/>
        <sz val="11"/>
        <color rgb="FFFFFFFF"/>
        <rFont val="Arial"/>
        <family val="2"/>
      </rPr>
      <t>(TZS/</t>
    </r>
    <r>
      <rPr>
        <b/>
        <sz val="11"/>
        <color rgb="FFFFFFFF"/>
        <rFont val="Arial Unicode MS"/>
        <family val="2"/>
      </rPr>
      <t>车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</si>
  <si>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 Unicode MS"/>
        <family val="2"/>
      </rPr>
      <t>增量金额</t>
    </r>
    <r>
      <rPr>
        <b/>
        <sz val="11"/>
        <color rgb="FFFFFFFF"/>
        <rFont val="Arial"/>
        <family val="2"/>
      </rPr>
      <t>(TZS)</t>
    </r>
  </si>
  <si>
    <t>备注</t>
  </si>
  <si>
    <t>2026-10-13</t>
  </si>
  <si>
    <t>LAMBA LAMBA</t>
  </si>
  <si>
    <t>2026-10-14</t>
  </si>
  <si>
    <t>SAKA SAKA</t>
  </si>
  <si>
    <t>2026-10-15</t>
  </si>
  <si>
    <t>MIZOZO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</si>
  <si>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</si>
  <si>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</si>
  <si>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</si>
  <si>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</si>
  <si>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</si>
  <si>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</si>
  <si>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</si>
  <si>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r>
      <rPr>
        <sz val="11"/>
        <rFont val="Arial Unicode MS"/>
        <family val="2"/>
      </rPr>
      <t>用户调整：</t>
    </r>
    <r>
      <rPr>
        <sz val="11"/>
        <rFont val="Arial"/>
        <family val="2"/>
      </rPr>
      <t>36</t>
    </r>
    <r>
      <rPr>
        <sz val="11"/>
        <rFont val="Arial Unicode MS"/>
        <family val="2"/>
      </rPr>
      <t>（原清单</t>
    </r>
    <r>
      <rPr>
        <sz val="11"/>
        <rFont val="Arial"/>
        <family val="2"/>
      </rPr>
      <t>37</t>
    </r>
    <r>
      <rPr>
        <sz val="11"/>
        <rFont val="Arial Unicode MS"/>
        <family val="2"/>
      </rPr>
      <t>）</t>
    </r>
  </si>
  <si>
    <t>2026-10-23</t>
  </si>
  <si>
    <t>2026-10-24</t>
  </si>
  <si>
    <t>2026-10-25</t>
  </si>
  <si>
    <t>2026-10-26</t>
  </si>
  <si>
    <t>2026-10-27</t>
  </si>
  <si>
    <t>2026-10-28</t>
  </si>
  <si>
    <t>总计</t>
  </si>
  <si>
    <t>分班组小计</t>
  </si>
  <si>
    <t>NH</t>
  </si>
  <si>
    <t>NL</t>
  </si>
  <si>
    <t>MW</t>
  </si>
  <si>
    <t>总车数</t>
  </si>
  <si>
    <t>豁免</t>
  </si>
  <si>
    <r>
      <rPr>
        <b/>
        <sz val="11"/>
        <color rgb="FFFFFFFF"/>
        <rFont val="Arial Unicode MS"/>
        <family val="2"/>
      </rPr>
      <t>加速倍数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Arial Unicode MS"/>
        <family val="2"/>
      </rPr>
      <t>车</t>
    </r>
    <r>
      <rPr>
        <b/>
        <sz val="11"/>
        <color rgb="FFFFFFFF"/>
        <rFont val="Arial"/>
        <family val="2"/>
      </rPr>
      <t>/40)</t>
    </r>
  </si>
  <si>
    <r>
      <rPr>
        <b/>
        <sz val="11"/>
        <color rgb="FFFFFFFF"/>
        <rFont val="Arial Unicode MS"/>
        <family val="2"/>
      </rPr>
      <t>池金额</t>
    </r>
    <r>
      <rPr>
        <b/>
        <sz val="11"/>
        <color rgb="FFFFFFFF"/>
        <rFont val="Arial"/>
        <family val="2"/>
      </rPr>
      <t>-</t>
    </r>
    <r>
      <rPr>
        <b/>
        <sz val="11"/>
        <color rgb="FFFFFFFF"/>
        <rFont val="Arial Unicode MS"/>
        <family val="2"/>
      </rPr>
      <t>公式</t>
    </r>
    <r>
      <rPr>
        <b/>
        <sz val="11"/>
        <color rgb="FFFFFFFF"/>
        <rFont val="Arial"/>
        <family val="2"/>
      </rPr>
      <t>(TZS)</t>
    </r>
  </si>
  <si>
    <r>
      <rPr>
        <b/>
        <sz val="11"/>
        <color rgb="FFFFFFFF"/>
        <rFont val="Arial Unicode MS"/>
        <family val="2"/>
      </rPr>
      <t>池金额</t>
    </r>
    <r>
      <rPr>
        <b/>
        <sz val="11"/>
        <color rgb="FFFFFFFF"/>
        <rFont val="Arial"/>
        <family val="2"/>
      </rPr>
      <t>-</t>
    </r>
    <r>
      <rPr>
        <b/>
        <sz val="11"/>
        <color rgb="FFFFFFFF"/>
        <rFont val="Arial Unicode MS"/>
        <family val="2"/>
      </rPr>
      <t>实际分摊</t>
    </r>
    <r>
      <rPr>
        <b/>
        <sz val="11"/>
        <color rgb="FFFFFFFF"/>
        <rFont val="Arial"/>
        <family val="2"/>
      </rPr>
      <t>(TZS)</t>
    </r>
  </si>
  <si>
    <r>
      <rPr>
        <b/>
        <sz val="11"/>
        <color rgb="FFFFFFFF"/>
        <rFont val="Arial Unicode MS"/>
        <family val="2"/>
      </rPr>
      <t>出勤人数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Arial Unicode MS"/>
        <family val="2"/>
      </rPr>
      <t>分母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</si>
  <si>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 Unicode MS"/>
        <family val="2"/>
      </rPr>
      <t>人均</t>
    </r>
    <r>
      <rPr>
        <b/>
        <sz val="11"/>
        <color rgb="FFFFFFFF"/>
        <rFont val="Arial"/>
        <family val="2"/>
      </rPr>
      <t>(TZS)</t>
    </r>
  </si>
  <si>
    <t>2026-10-01</t>
  </si>
  <si>
    <t>2026-10-02</t>
  </si>
  <si>
    <t>是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</si>
  <si>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</si>
  <si>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</si>
  <si>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</si>
  <si>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</si>
  <si>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</si>
  <si>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</si>
  <si>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</si>
  <si>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</si>
  <si>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</si>
  <si>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</si>
  <si>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MAKUSANYO</t>
  </si>
  <si>
    <t>2026-10-29</t>
  </si>
  <si>
    <t>2026-10-30</t>
  </si>
  <si>
    <t>2026-10-31</t>
  </si>
  <si>
    <r>
      <rPr>
        <b/>
        <sz val="11"/>
        <color rgb="FFFFFFFF"/>
        <rFont val="Arial Unicode MS"/>
        <family val="2"/>
      </rPr>
      <t>增量总额</t>
    </r>
    <r>
      <rPr>
        <b/>
        <sz val="11"/>
        <color rgb="FFFFFFFF"/>
        <rFont val="Arial"/>
        <family val="2"/>
      </rPr>
      <t>(TZS)=</t>
    </r>
    <r>
      <rPr>
        <b/>
        <sz val="11"/>
        <color rgb="FFFFFFFF"/>
        <rFont val="Arial Unicode MS"/>
        <family val="2"/>
      </rPr>
      <t>车次</t>
    </r>
    <r>
      <rPr>
        <b/>
        <sz val="11"/>
        <color rgb="FFFFFFFF"/>
        <rFont val="Arial"/>
        <family val="2"/>
      </rPr>
      <t>×1500</t>
    </r>
  </si>
  <si>
    <t>当日出勤人数</t>
  </si>
  <si>
    <r>
      <rPr>
        <b/>
        <sz val="11"/>
        <color rgb="FFFFFFFF"/>
        <rFont val="Arial Unicode MS"/>
        <family val="2"/>
      </rPr>
      <t>人均增量</t>
    </r>
    <r>
      <rPr>
        <b/>
        <sz val="11"/>
        <color rgb="FFFFFFFF"/>
        <rFont val="Arial"/>
        <family val="2"/>
      </rPr>
      <t>(TZS)</t>
    </r>
  </si>
  <si>
    <t>当日成员</t>
  </si>
  <si>
    <t>AYUBU JUMA MATEREGO(22,500), AMOSI HARUNA(22,500), JOSEPH CHAJA NKUBA(22,500), Bahati Tabu Misungwi(22,500), EMMANUEL MASUMBUKO MASOLWA(22,500), ARAFATI OMARI  RAJABU(22,500)</t>
  </si>
  <si>
    <t>SHABANI IDDY(11,250), BOYD SAMBU(11,250), DAMAS ROMWADI KIFYULA(11,250), JUMA HASSAN ATHUMANI(11,250), LUDUPO  M  NNAINAI(11,250), FRANK  SLIVELIUS  HAULE(11,250)</t>
  </si>
  <si>
    <t>AYUBU JUMA MATEREGO(19,000), JOSEPH CHAJA NKUBA(19,000), ALLY VENASI MATHIAS(19,000), Bahati Tabu Misungwi(19,000), EMMANUEL MASUMBUKO MASOLWA(19,000), ARAFATI OMARI  RAJABU(19,000)</t>
  </si>
  <si>
    <t>KIBWANA ALLY(17,371), Renatus Mbezi Bruno(17,371), Selemani Rashidi Mkalivara(17,371), Gilbert Balindile John(17,371), MAIKO NGONYANI(17,371), SANING'O  ROBIKIEKI NDARAMAI(17,371), FILIBETH  MAXMILIAN  LUOGA(17,371)</t>
  </si>
  <si>
    <t>AYUBU JUMA MATEREGO(17,467), JOSEPH CHAJA NKUBA(17,467), ALLY VENASI MATHIAS(17,467), Bahati Tabu Misungwi(17,467), EMMANUEL MASUMBUKO MASOLWA(17,467), ARAFATI OMARI  RAJABU(17,467)</t>
  </si>
  <si>
    <t>SHABANI IDDY(5,000), BOYD SAMBU(5,000), DAMAS ROMWADI KIFYULA(5,000), JUMA HASSAN ATHUMANI(5,000), LUDUPO  M  NNAINAI(5,000), FRANK  SLIVELIUS  HAULE(5,000)</t>
  </si>
  <si>
    <t>SHABANI IDDY(56,258), BOYD SAMBU(56,258), DAMAS ROMWADI KIFYULA(56,258), JUMA HASSAN ATHUMANI(56,258), LUDUPO  M  NNAINAI(56,258), FRANK  SLIVELIUS  HAULE(56,258)</t>
  </si>
  <si>
    <t>SHABANI IDDY(15,360), BOYD SAMBU(15,360), JUMA HASSAN ATHUMANI(15,360), LUDUPO  M  NNAINAI(15,360), FRANK  SLIVELIUS  HAULE(15,360)</t>
  </si>
  <si>
    <t>KIBWANA ALLY(37,329), Daudi Mepaashi Banakera(37,329), Renatus Mbezi Bruno(37,329), Selemani Rashidi Mkalivara(37,329), Gilbert Balindile John(37,329), SANING'O  ROBIKIEKI NDARAMAI(37,329), FILIBETH  MAXMILIAN  LUOGA(37,329)</t>
  </si>
  <si>
    <t>AYUBU JUMA MATEREGO(15,950), JOSEPH CHAJA NKUBA(15,950), ALLY VENASI MATHIAS(15,950), Bahati Tabu Misungwi(15,950), EMMANUEL MASUMBUKO MASOLWA(15,950), ARAFATI OMARI  RAJABU(15,950)</t>
  </si>
  <si>
    <t>SHABANI IDDY(20,000), BOYD SAMBU(20,000), DAMAS ROMWADI KIFYULA(20,000), JUMA HASSAN ATHUMANI(20,000), LUDUPO  M  NNAINAI(20,000), FRANK  SLIVELIUS  HAULE(20,000)</t>
  </si>
  <si>
    <t>KIBWANA ALLY(12,289), Daudi Mepaashi Banakera(12,289), Renatus Mbezi Bruno(12,289), Selemani Rashidi Mkalivara(12,289), Gilbert Balindile John(12,289), MAIKO NGONYANI(12,289), SANING'O  ROBIKIEKI NDARAMAI(12,289)</t>
  </si>
  <si>
    <t>SHABANI IDDY(19,984), BOYD SAMBU(19,984), DAMAS ROMWADI KIFYULA(19,984), JUMA HASSAN ATHUMANI(19,984), LUDUPO  M  NNAINAI(19,984)</t>
  </si>
  <si>
    <t>KIBWANA ALLY(17,971), Daudi Mepaashi Banakera(17,971), Renatus Mbezi Bruno(17,971), Gilbert Balindile John(17,971), MAIKO NGONYANI(17,971), SANING'O  ROBIKIEKI NDARAMAI(17,971), FILIBETH  MAXMILIAN  LUOGA(17,971)</t>
  </si>
  <si>
    <t>SHABANI IDDY(37,188), BOYD SAMBU(37,188), DAMAS ROMWADI KIFYULA(37,188), JUMA HASSAN ATHUMANI(37,188), LUDUPO  M  NNAINAI(37,188), FRANK  SLIVELIUS  HAULE(37,188)</t>
  </si>
  <si>
    <t>AYUBU JUMA MATEREGO(19,440), JOSEPH CHAJA NKUBA(19,440), ALLY VENASI MATHIAS(19,440), Bahati Tabu Misungwi(19,440), EMMANUEL MASUMBUKO MASOLWA(19,440)</t>
  </si>
  <si>
    <t>BOYD SAMBU(15,360), DAMAS ROMWADI KIFYULA(15,360), JUMA HASSAN ATHUMANI(15,360), LUDUPO  M  NNAINAI(15,360), FRANK  SLIVELIUS  HAULE(15,360)</t>
  </si>
  <si>
    <t>AYUBU JUMA MATEREGO(15,345), ALLY VENASI MATHIAS(15,345), Bahati Tabu Misungwi(15,345), EMMANUEL MASUMBUKO MASOLWA(15,345), ARAFATI OMARI  RAJABU(15,345)</t>
  </si>
  <si>
    <t>SHABANI IDDY(18,346), BOYD SAMBU(18,346), DAMAS ROMWADI KIFYULA(18,346), JUMA HASSAN ATHUMANI(18,346), LUDUPO  M  NNAINAI(18,346), FRANK  SLIVELIUS  HAULE(18,346)</t>
  </si>
  <si>
    <t>AYUBU JUMA MATEREGO(12,800), JOSEPH CHAJA NKUBA(12,800), ALLY VENASI MATHIAS(12,800), Bahati Tabu Misungwi(12,800), EMMANUEL MASUMBUKO MASOLWA(12,800), ARAFATI OMARI  RAJABU(12,800)</t>
  </si>
  <si>
    <t>SHABANI IDDY(30,400), BOYD SAMBU(30,400), DAMAS ROMWADI KIFYULA(30,400), LUDUPO  M  NNAINAI(30,400), FRANK  SLIVELIUS  HAULE(30,400)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</si>
</sst>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\-"/>
  </numFmts>
  <fonts count="8" x14ac:knownFonts="1">
    <font>
      <sz val="11"/>
      <color theme="1"/>
      <name val="Arial Unicode MS"/>
      <family val="2"/>
    </font>
    <font>
      <b/>
      <sz val="11"/>
      <color rgb="FFFFFFFF"/>
      <name val="Arial Unicode MS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1"/>
      <name val="Arial"/>
      <family val="2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176" fontId="3" fillId="0" borderId="0" xfId="0" applyNumberFormat="1" applyFont="1"/>
    <xf numFmtId="0" fontId="4" fillId="0" borderId="0" xfId="0" applyFont="1"/>
    <xf numFmtId="0" fontId="5" fillId="0" borderId="0" xfId="0" applyFont="1"/>
    <xf numFmtId="176" fontId="6" fillId="0" borderId="0" xfId="0" applyNumberFormat="1" applyFont="1"/>
    <xf numFmtId="0" fontId="2" fillId="2" borderId="0" xfId="0" applyFont="1" applyFill="1" applyAlignment="1">
      <alignment horizontal="center"/>
    </xf>
    <xf numFmtId="2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Normal="100" workbookViewId="0">
      <pane ySplit="1" topLeftCell="A2" activePane="bottomLeft" state="frozen"/>
      <selection pane="bottomLeft" activeCell="F26" sqref="F26"/>
    </sheetView>
  </sheetViews>
  <sheetFormatPr baseColWidth="10" defaultColWidth="7.83203125" defaultRowHeight="17" x14ac:dyDescent="0.25"/>
  <cols>
    <col min="1" max="1" width="11" customWidth="1"/>
    <col min="2" max="2" width="14.5" customWidth="1"/>
    <col min="3" max="6" width="16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11</v>
      </c>
      <c r="D2" s="2">
        <v>1500</v>
      </c>
      <c r="E2" s="3">
        <f t="shared" ref="E2:E22" si="0">C2*D2</f>
        <v>16500</v>
      </c>
      <c r="F2" s="2"/>
    </row>
    <row r="3" spans="1:6" x14ac:dyDescent="0.25">
      <c r="A3" s="2" t="s">
        <v>8</v>
      </c>
      <c r="B3" s="2" t="s">
        <v>9</v>
      </c>
      <c r="C3" s="2">
        <v>30</v>
      </c>
      <c r="D3" s="2">
        <v>1500</v>
      </c>
      <c r="E3" s="3">
        <f t="shared" si="0"/>
        <v>45000</v>
      </c>
      <c r="F3" s="2"/>
    </row>
    <row r="4" spans="1:6" x14ac:dyDescent="0.25">
      <c r="A4" s="2" t="s">
        <v>10</v>
      </c>
      <c r="B4" s="2" t="s">
        <v>7</v>
      </c>
      <c r="C4" s="2">
        <v>35</v>
      </c>
      <c r="D4" s="2">
        <v>1500</v>
      </c>
      <c r="E4" s="3">
        <f t="shared" si="0"/>
        <v>52500</v>
      </c>
      <c r="F4" s="2"/>
    </row>
    <row r="5" spans="1:6" x14ac:dyDescent="0.25">
      <c r="A5" s="2" t="s">
        <v>10</v>
      </c>
      <c r="B5" s="2" t="s">
        <v>11</v>
      </c>
      <c r="C5" s="2">
        <v>8</v>
      </c>
      <c r="D5" s="2">
        <v>1500</v>
      </c>
      <c r="E5" s="3">
        <f t="shared" si="0"/>
        <v>12000</v>
      </c>
      <c r="F5" s="2"/>
    </row>
    <row r="6" spans="1:6" x14ac:dyDescent="0.25">
      <c r="A6" s="2" t="s">
        <v>12</v>
      </c>
      <c r="B6" s="2" t="s">
        <v>7</v>
      </c>
      <c r="C6" s="2">
        <v>23</v>
      </c>
      <c r="D6" s="2">
        <v>1500</v>
      </c>
      <c r="E6" s="3">
        <f t="shared" si="0"/>
        <v>34500</v>
      </c>
      <c r="F6" s="2"/>
    </row>
    <row r="7" spans="1:6" x14ac:dyDescent="0.25">
      <c r="A7" s="2" t="s">
        <v>13</v>
      </c>
      <c r="B7" s="2" t="s">
        <v>9</v>
      </c>
      <c r="C7" s="2">
        <v>16</v>
      </c>
      <c r="D7" s="2">
        <v>1500</v>
      </c>
      <c r="E7" s="3">
        <f t="shared" si="0"/>
        <v>24000</v>
      </c>
      <c r="F7" s="2"/>
    </row>
    <row r="8" spans="1:6" x14ac:dyDescent="0.25">
      <c r="A8" s="2" t="s">
        <v>14</v>
      </c>
      <c r="B8" s="2" t="s">
        <v>9</v>
      </c>
      <c r="C8" s="2">
        <v>6</v>
      </c>
      <c r="D8" s="2">
        <v>1500</v>
      </c>
      <c r="E8" s="3">
        <f t="shared" si="0"/>
        <v>9000</v>
      </c>
      <c r="F8" s="2"/>
    </row>
    <row r="9" spans="1:6" x14ac:dyDescent="0.25">
      <c r="A9" s="2" t="s">
        <v>15</v>
      </c>
      <c r="B9" s="2" t="s">
        <v>9</v>
      </c>
      <c r="C9" s="2">
        <v>14</v>
      </c>
      <c r="D9" s="2">
        <v>1500</v>
      </c>
      <c r="E9" s="3">
        <f t="shared" si="0"/>
        <v>21000</v>
      </c>
      <c r="F9" s="2"/>
    </row>
    <row r="10" spans="1:6" x14ac:dyDescent="0.25">
      <c r="A10" s="2" t="s">
        <v>15</v>
      </c>
      <c r="B10" s="2" t="s">
        <v>11</v>
      </c>
      <c r="C10" s="2">
        <v>10</v>
      </c>
      <c r="D10" s="2">
        <v>1500</v>
      </c>
      <c r="E10" s="3">
        <f t="shared" si="0"/>
        <v>15000</v>
      </c>
      <c r="F10" s="2"/>
    </row>
    <row r="11" spans="1:6" x14ac:dyDescent="0.25">
      <c r="A11" s="2" t="s">
        <v>16</v>
      </c>
      <c r="B11" s="2" t="s">
        <v>7</v>
      </c>
      <c r="C11" s="2">
        <v>20</v>
      </c>
      <c r="D11" s="2">
        <v>1500</v>
      </c>
      <c r="E11" s="3">
        <f t="shared" si="0"/>
        <v>30000</v>
      </c>
      <c r="F11" s="2"/>
    </row>
    <row r="12" spans="1:6" x14ac:dyDescent="0.25">
      <c r="A12" s="2" t="s">
        <v>17</v>
      </c>
      <c r="B12" s="2" t="s">
        <v>9</v>
      </c>
      <c r="C12" s="2">
        <v>12</v>
      </c>
      <c r="D12" s="2">
        <v>1500</v>
      </c>
      <c r="E12" s="3">
        <f t="shared" si="0"/>
        <v>18000</v>
      </c>
      <c r="F12" s="2"/>
    </row>
    <row r="13" spans="1:6" x14ac:dyDescent="0.25">
      <c r="A13" s="2" t="s">
        <v>17</v>
      </c>
      <c r="B13" s="2" t="s">
        <v>11</v>
      </c>
      <c r="C13" s="2">
        <v>21</v>
      </c>
      <c r="D13" s="2">
        <v>1500</v>
      </c>
      <c r="E13" s="3">
        <f t="shared" si="0"/>
        <v>31500</v>
      </c>
      <c r="F13" s="2"/>
    </row>
    <row r="14" spans="1:6" x14ac:dyDescent="0.25">
      <c r="A14" s="2" t="s">
        <v>18</v>
      </c>
      <c r="B14" s="2" t="s">
        <v>9</v>
      </c>
      <c r="C14" s="2">
        <v>36</v>
      </c>
      <c r="D14" s="2">
        <v>1500</v>
      </c>
      <c r="E14" s="3">
        <f t="shared" si="0"/>
        <v>54000</v>
      </c>
      <c r="F14" s="4" t="s">
        <v>19</v>
      </c>
    </row>
    <row r="15" spans="1:6" x14ac:dyDescent="0.25">
      <c r="A15" s="2" t="s">
        <v>18</v>
      </c>
      <c r="B15" s="2" t="s">
        <v>11</v>
      </c>
      <c r="C15" s="2">
        <v>2</v>
      </c>
      <c r="D15" s="2">
        <v>1500</v>
      </c>
      <c r="E15" s="3">
        <f t="shared" si="0"/>
        <v>3000</v>
      </c>
      <c r="F15" s="2"/>
    </row>
    <row r="16" spans="1:6" x14ac:dyDescent="0.25">
      <c r="A16" s="2" t="s">
        <v>20</v>
      </c>
      <c r="B16" s="2" t="s">
        <v>9</v>
      </c>
      <c r="C16" s="2">
        <v>4</v>
      </c>
      <c r="D16" s="2">
        <v>1500</v>
      </c>
      <c r="E16" s="3">
        <f t="shared" si="0"/>
        <v>6000</v>
      </c>
      <c r="F16" s="2"/>
    </row>
    <row r="17" spans="1:6" x14ac:dyDescent="0.25">
      <c r="A17" s="2" t="s">
        <v>20</v>
      </c>
      <c r="B17" s="2" t="s">
        <v>7</v>
      </c>
      <c r="C17" s="2">
        <v>36</v>
      </c>
      <c r="D17" s="2">
        <v>1500</v>
      </c>
      <c r="E17" s="3">
        <f t="shared" si="0"/>
        <v>54000</v>
      </c>
      <c r="F17" s="2"/>
    </row>
    <row r="18" spans="1:6" x14ac:dyDescent="0.25">
      <c r="A18" s="2" t="s">
        <v>21</v>
      </c>
      <c r="B18" s="2" t="s">
        <v>9</v>
      </c>
      <c r="C18" s="2">
        <v>32</v>
      </c>
      <c r="D18" s="2">
        <v>1500</v>
      </c>
      <c r="E18" s="3">
        <f t="shared" si="0"/>
        <v>48000</v>
      </c>
      <c r="F18" s="2"/>
    </row>
    <row r="19" spans="1:6" x14ac:dyDescent="0.25">
      <c r="A19" s="2" t="s">
        <v>22</v>
      </c>
      <c r="B19" s="2" t="s">
        <v>7</v>
      </c>
      <c r="C19" s="2">
        <v>5</v>
      </c>
      <c r="D19" s="2">
        <v>1500</v>
      </c>
      <c r="E19" s="3">
        <f t="shared" si="0"/>
        <v>7500</v>
      </c>
      <c r="F19" s="2"/>
    </row>
    <row r="20" spans="1:6" x14ac:dyDescent="0.25">
      <c r="A20" s="2" t="s">
        <v>23</v>
      </c>
      <c r="B20" s="2" t="s">
        <v>9</v>
      </c>
      <c r="C20" s="2">
        <v>33</v>
      </c>
      <c r="D20" s="2">
        <v>1500</v>
      </c>
      <c r="E20" s="3">
        <f t="shared" si="0"/>
        <v>49500</v>
      </c>
      <c r="F20" s="2"/>
    </row>
    <row r="21" spans="1:6" x14ac:dyDescent="0.25">
      <c r="A21" s="2" t="s">
        <v>24</v>
      </c>
      <c r="B21" s="2" t="s">
        <v>7</v>
      </c>
      <c r="C21" s="2">
        <v>32</v>
      </c>
      <c r="D21" s="2">
        <v>1500</v>
      </c>
      <c r="E21" s="3">
        <f t="shared" si="0"/>
        <v>48000</v>
      </c>
      <c r="F21" s="2"/>
    </row>
    <row r="22" spans="1:6" x14ac:dyDescent="0.25">
      <c r="A22" s="2" t="s">
        <v>25</v>
      </c>
      <c r="B22" s="2" t="s">
        <v>9</v>
      </c>
      <c r="C22" s="2">
        <v>24</v>
      </c>
      <c r="D22" s="2">
        <v>1500</v>
      </c>
      <c r="E22" s="3">
        <f t="shared" si="0"/>
        <v>36000</v>
      </c>
      <c r="F22" s="2"/>
    </row>
    <row r="23" spans="1:6" x14ac:dyDescent="0.25">
      <c r="B23" s="5" t="s">
        <v>26</v>
      </c>
      <c r="C23" s="5">
        <f>SUM(C2:C22)</f>
        <v>410</v>
      </c>
      <c r="E23" s="6">
        <f>SUM(E2:E22)</f>
        <v>615000</v>
      </c>
    </row>
    <row r="24" spans="1:6" x14ac:dyDescent="0.25">
      <c r="B24" s="5" t="s">
        <v>27</v>
      </c>
    </row>
    <row r="25" spans="1:6" x14ac:dyDescent="0.25">
      <c r="B25" s="2" t="s">
        <v>7</v>
      </c>
      <c r="C25" s="2">
        <v>162</v>
      </c>
    </row>
    <row r="26" spans="1:6" x14ac:dyDescent="0.25">
      <c r="B26" s="2" t="s">
        <v>11</v>
      </c>
      <c r="C26" s="2">
        <v>41</v>
      </c>
    </row>
    <row r="27" spans="1:6" x14ac:dyDescent="0.25">
      <c r="B27" s="2" t="s">
        <v>9</v>
      </c>
      <c r="C27" s="2">
        <v>207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abSelected="1" zoomScaleNormal="100" workbookViewId="0">
      <pane ySplit="1" topLeftCell="A2" activePane="bottomLeft" state="frozen"/>
      <selection pane="bottomLeft" activeCell="K15" sqref="K15"/>
    </sheetView>
  </sheetViews>
  <sheetFormatPr baseColWidth="10" defaultColWidth="7.83203125" defaultRowHeight="17" x14ac:dyDescent="0.25"/>
  <cols>
    <col min="1" max="1" width="11" customWidth="1"/>
    <col min="2" max="2" width="13.6640625" customWidth="1"/>
    <col min="3" max="7" width="9.1640625" customWidth="1"/>
    <col min="8" max="8" width="15.33203125" bestFit="1" customWidth="1"/>
    <col min="9" max="12" width="14.5" customWidth="1"/>
  </cols>
  <sheetData>
    <row r="1" spans="1:12" x14ac:dyDescent="0.25">
      <c r="A1" s="1" t="s">
        <v>0</v>
      </c>
      <c r="B1" s="1" t="s">
        <v>1</v>
      </c>
      <c r="C1" s="7" t="s">
        <v>28</v>
      </c>
      <c r="D1" s="7" t="s">
        <v>29</v>
      </c>
      <c r="E1" s="7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25">
      <c r="A2" s="2" t="s">
        <v>38</v>
      </c>
      <c r="B2" s="2" t="s">
        <v>7</v>
      </c>
      <c r="C2" s="2">
        <v>1</v>
      </c>
      <c r="D2" s="2">
        <v>0</v>
      </c>
      <c r="E2" s="2">
        <v>15</v>
      </c>
      <c r="F2" s="2">
        <v>16</v>
      </c>
      <c r="G2" s="2"/>
      <c r="H2" s="8">
        <v>0.4</v>
      </c>
      <c r="I2" s="3">
        <v>21200</v>
      </c>
      <c r="J2" s="3">
        <v>21200</v>
      </c>
      <c r="K2" s="2">
        <v>1</v>
      </c>
      <c r="L2" s="3">
        <v>21200</v>
      </c>
    </row>
    <row r="3" spans="1:12" x14ac:dyDescent="0.25">
      <c r="A3" s="2" t="s">
        <v>38</v>
      </c>
      <c r="B3" s="2" t="s">
        <v>9</v>
      </c>
      <c r="C3" s="2">
        <v>1</v>
      </c>
      <c r="D3" s="2">
        <v>1</v>
      </c>
      <c r="E3" s="2">
        <v>23</v>
      </c>
      <c r="F3" s="2">
        <v>25</v>
      </c>
      <c r="G3" s="2"/>
      <c r="H3" s="8">
        <v>0.625</v>
      </c>
      <c r="I3" s="3">
        <v>51250</v>
      </c>
      <c r="J3" s="3">
        <v>51249</v>
      </c>
      <c r="K3" s="2">
        <v>3</v>
      </c>
      <c r="L3" s="3">
        <v>17083</v>
      </c>
    </row>
    <row r="4" spans="1:12" x14ac:dyDescent="0.25">
      <c r="A4" s="2" t="s">
        <v>38</v>
      </c>
      <c r="B4" s="2" t="s">
        <v>11</v>
      </c>
      <c r="C4" s="2">
        <v>10</v>
      </c>
      <c r="D4" s="2">
        <v>0</v>
      </c>
      <c r="E4" s="2">
        <v>8</v>
      </c>
      <c r="F4" s="2">
        <v>18</v>
      </c>
      <c r="G4" s="2"/>
      <c r="H4" s="8">
        <v>0.45</v>
      </c>
      <c r="I4" s="3">
        <v>46800</v>
      </c>
      <c r="J4" s="3">
        <v>46800</v>
      </c>
      <c r="K4" s="2">
        <v>5</v>
      </c>
      <c r="L4" s="3">
        <v>9360</v>
      </c>
    </row>
    <row r="5" spans="1:12" x14ac:dyDescent="0.25">
      <c r="A5" s="2" t="s">
        <v>39</v>
      </c>
      <c r="B5" s="2" t="s">
        <v>7</v>
      </c>
      <c r="C5" s="2">
        <v>0</v>
      </c>
      <c r="D5" s="2">
        <v>2</v>
      </c>
      <c r="E5" s="2">
        <v>33</v>
      </c>
      <c r="F5" s="2">
        <v>35</v>
      </c>
      <c r="G5" s="4" t="s">
        <v>40</v>
      </c>
      <c r="H5" s="8">
        <v>1</v>
      </c>
      <c r="I5" s="3">
        <v>109000</v>
      </c>
      <c r="J5" s="3">
        <v>109002</v>
      </c>
      <c r="K5" s="2">
        <v>6</v>
      </c>
      <c r="L5" s="3">
        <v>18167</v>
      </c>
    </row>
    <row r="6" spans="1:12" x14ac:dyDescent="0.25">
      <c r="A6" s="2" t="s">
        <v>39</v>
      </c>
      <c r="B6" s="2" t="s">
        <v>9</v>
      </c>
      <c r="C6" s="2">
        <v>1</v>
      </c>
      <c r="D6" s="2">
        <v>0</v>
      </c>
      <c r="E6" s="2">
        <v>39</v>
      </c>
      <c r="F6" s="2">
        <v>40</v>
      </c>
      <c r="G6" s="2"/>
      <c r="H6" s="8">
        <v>1</v>
      </c>
      <c r="I6" s="3">
        <v>125000</v>
      </c>
      <c r="J6" s="3">
        <v>125000</v>
      </c>
      <c r="K6" s="2">
        <v>5</v>
      </c>
      <c r="L6" s="3">
        <v>25000</v>
      </c>
    </row>
    <row r="7" spans="1:12" x14ac:dyDescent="0.25">
      <c r="A7" s="2" t="s">
        <v>39</v>
      </c>
      <c r="B7" s="2" t="s">
        <v>11</v>
      </c>
      <c r="C7" s="2">
        <v>18</v>
      </c>
      <c r="D7" s="2">
        <v>0</v>
      </c>
      <c r="E7" s="2">
        <v>16</v>
      </c>
      <c r="F7" s="2">
        <v>34</v>
      </c>
      <c r="G7" s="2"/>
      <c r="H7" s="8">
        <v>0.85</v>
      </c>
      <c r="I7" s="3">
        <v>163200</v>
      </c>
      <c r="J7" s="3">
        <v>163200</v>
      </c>
      <c r="K7" s="2">
        <v>5</v>
      </c>
      <c r="L7" s="3">
        <v>32640</v>
      </c>
    </row>
    <row r="8" spans="1:12" x14ac:dyDescent="0.25">
      <c r="A8" s="2" t="s">
        <v>41</v>
      </c>
      <c r="B8" s="2" t="s">
        <v>7</v>
      </c>
      <c r="C8" s="2">
        <v>18</v>
      </c>
      <c r="D8" s="2">
        <v>0</v>
      </c>
      <c r="E8" s="2">
        <v>10</v>
      </c>
      <c r="F8" s="2">
        <v>28</v>
      </c>
      <c r="G8" s="2"/>
      <c r="H8" s="8">
        <v>0.7</v>
      </c>
      <c r="I8" s="3">
        <v>121800</v>
      </c>
      <c r="J8" s="3">
        <v>121800</v>
      </c>
      <c r="K8" s="2">
        <v>4</v>
      </c>
      <c r="L8" s="3">
        <v>30450</v>
      </c>
    </row>
    <row r="9" spans="1:12" x14ac:dyDescent="0.25">
      <c r="A9" s="2" t="s">
        <v>41</v>
      </c>
      <c r="B9" s="2" t="s">
        <v>9</v>
      </c>
      <c r="C9" s="2">
        <v>0</v>
      </c>
      <c r="D9" s="2">
        <v>0</v>
      </c>
      <c r="E9" s="2">
        <v>26</v>
      </c>
      <c r="F9" s="2">
        <v>26</v>
      </c>
      <c r="G9" s="2"/>
      <c r="H9" s="8">
        <v>0.65</v>
      </c>
      <c r="I9" s="3">
        <v>50700</v>
      </c>
      <c r="J9" s="3">
        <v>50700</v>
      </c>
      <c r="K9" s="2">
        <v>5</v>
      </c>
      <c r="L9" s="3">
        <v>10140</v>
      </c>
    </row>
    <row r="10" spans="1:12" x14ac:dyDescent="0.25">
      <c r="A10" s="2" t="s">
        <v>41</v>
      </c>
      <c r="B10" s="2" t="s">
        <v>11</v>
      </c>
      <c r="C10" s="2">
        <v>26</v>
      </c>
      <c r="D10" s="2">
        <v>0</v>
      </c>
      <c r="E10" s="2">
        <v>0</v>
      </c>
      <c r="F10" s="2">
        <v>26</v>
      </c>
      <c r="G10" s="2"/>
      <c r="H10" s="8">
        <v>0.65</v>
      </c>
      <c r="I10" s="3">
        <v>135200</v>
      </c>
      <c r="J10" s="3">
        <v>135200</v>
      </c>
      <c r="K10" s="2">
        <v>5</v>
      </c>
      <c r="L10" s="3">
        <v>27040</v>
      </c>
    </row>
    <row r="11" spans="1:12" x14ac:dyDescent="0.25">
      <c r="A11" s="2" t="s">
        <v>42</v>
      </c>
      <c r="B11" s="2" t="s">
        <v>7</v>
      </c>
      <c r="C11" s="2">
        <v>0</v>
      </c>
      <c r="D11" s="2">
        <v>3</v>
      </c>
      <c r="E11" s="2">
        <v>35</v>
      </c>
      <c r="F11" s="2">
        <v>38</v>
      </c>
      <c r="G11" s="2"/>
      <c r="H11" s="8">
        <v>0.95</v>
      </c>
      <c r="I11" s="3">
        <v>114000</v>
      </c>
      <c r="J11" s="3">
        <v>114000</v>
      </c>
      <c r="K11" s="2">
        <v>5</v>
      </c>
      <c r="L11" s="3">
        <v>22800</v>
      </c>
    </row>
    <row r="12" spans="1:12" x14ac:dyDescent="0.25">
      <c r="A12" s="2" t="s">
        <v>42</v>
      </c>
      <c r="B12" s="2" t="s">
        <v>9</v>
      </c>
      <c r="C12" s="2">
        <v>0</v>
      </c>
      <c r="D12" s="2">
        <v>0</v>
      </c>
      <c r="E12" s="2">
        <v>25</v>
      </c>
      <c r="F12" s="2">
        <v>25</v>
      </c>
      <c r="G12" s="2"/>
      <c r="H12" s="8">
        <v>0.625</v>
      </c>
      <c r="I12" s="3">
        <v>46875</v>
      </c>
      <c r="J12" s="3">
        <v>46875</v>
      </c>
      <c r="K12" s="2">
        <v>5</v>
      </c>
      <c r="L12" s="3">
        <v>9375</v>
      </c>
    </row>
    <row r="13" spans="1:12" x14ac:dyDescent="0.25">
      <c r="A13" s="2" t="s">
        <v>42</v>
      </c>
      <c r="B13" s="2" t="s">
        <v>11</v>
      </c>
      <c r="C13" s="2">
        <v>28</v>
      </c>
      <c r="D13" s="2">
        <v>0</v>
      </c>
      <c r="E13" s="2">
        <v>1</v>
      </c>
      <c r="F13" s="2">
        <v>29</v>
      </c>
      <c r="G13" s="2"/>
      <c r="H13" s="8">
        <v>0.72499999999999998</v>
      </c>
      <c r="I13" s="3">
        <v>164575</v>
      </c>
      <c r="J13" s="3">
        <v>164575</v>
      </c>
      <c r="K13" s="2">
        <v>5</v>
      </c>
      <c r="L13" s="3">
        <v>32915</v>
      </c>
    </row>
    <row r="14" spans="1:12" x14ac:dyDescent="0.25">
      <c r="A14" s="2" t="s">
        <v>43</v>
      </c>
      <c r="B14" s="2" t="s">
        <v>7</v>
      </c>
      <c r="C14" s="2">
        <v>0</v>
      </c>
      <c r="D14" s="2">
        <v>0</v>
      </c>
      <c r="E14" s="2">
        <v>21</v>
      </c>
      <c r="F14" s="2">
        <v>21</v>
      </c>
      <c r="G14" s="2"/>
      <c r="H14" s="8">
        <v>0.52500000000000002</v>
      </c>
      <c r="I14" s="3">
        <v>33075</v>
      </c>
      <c r="J14" s="3">
        <v>33075</v>
      </c>
      <c r="K14" s="2">
        <v>5</v>
      </c>
      <c r="L14" s="3">
        <v>6615</v>
      </c>
    </row>
    <row r="15" spans="1:12" x14ac:dyDescent="0.25">
      <c r="A15" s="2" t="s">
        <v>43</v>
      </c>
      <c r="B15" s="2" t="s">
        <v>9</v>
      </c>
      <c r="C15" s="2">
        <v>2</v>
      </c>
      <c r="D15" s="2">
        <v>4</v>
      </c>
      <c r="E15" s="2">
        <v>43</v>
      </c>
      <c r="F15" s="2">
        <v>49</v>
      </c>
      <c r="G15" s="2"/>
      <c r="H15" s="8">
        <v>1.2250000000000001</v>
      </c>
      <c r="I15" s="3">
        <v>202125</v>
      </c>
      <c r="J15" s="3">
        <v>202125</v>
      </c>
      <c r="K15" s="2">
        <v>3</v>
      </c>
      <c r="L15" s="3">
        <v>67375</v>
      </c>
    </row>
    <row r="16" spans="1:12" x14ac:dyDescent="0.25">
      <c r="A16" s="2" t="s">
        <v>43</v>
      </c>
      <c r="B16" s="2" t="s">
        <v>11</v>
      </c>
      <c r="C16" s="2">
        <v>22</v>
      </c>
      <c r="D16" s="2">
        <v>0</v>
      </c>
      <c r="E16" s="2">
        <v>4</v>
      </c>
      <c r="F16" s="2">
        <v>26</v>
      </c>
      <c r="G16" s="2"/>
      <c r="H16" s="8">
        <v>0.65</v>
      </c>
      <c r="I16" s="3">
        <v>122200</v>
      </c>
      <c r="J16" s="3">
        <v>122202</v>
      </c>
      <c r="K16" s="2">
        <v>6</v>
      </c>
      <c r="L16" s="3">
        <v>20367</v>
      </c>
    </row>
    <row r="17" spans="1:12" x14ac:dyDescent="0.25">
      <c r="A17" s="2" t="s">
        <v>44</v>
      </c>
      <c r="B17" s="2" t="s">
        <v>7</v>
      </c>
      <c r="C17" s="2">
        <v>0</v>
      </c>
      <c r="D17" s="2">
        <v>0</v>
      </c>
      <c r="E17" s="2">
        <v>24</v>
      </c>
      <c r="F17" s="2">
        <v>24</v>
      </c>
      <c r="G17" s="2"/>
      <c r="H17" s="8">
        <v>0.6</v>
      </c>
      <c r="I17" s="3">
        <v>43200</v>
      </c>
      <c r="J17" s="3">
        <v>43200</v>
      </c>
      <c r="K17" s="2">
        <v>6</v>
      </c>
      <c r="L17" s="3">
        <v>7200</v>
      </c>
    </row>
    <row r="18" spans="1:12" x14ac:dyDescent="0.25">
      <c r="A18" s="2" t="s">
        <v>44</v>
      </c>
      <c r="B18" s="2" t="s">
        <v>9</v>
      </c>
      <c r="C18" s="2">
        <v>0</v>
      </c>
      <c r="D18" s="2">
        <v>29</v>
      </c>
      <c r="E18" s="2">
        <v>9</v>
      </c>
      <c r="F18" s="2">
        <v>38</v>
      </c>
      <c r="G18" s="2"/>
      <c r="H18" s="8">
        <v>0.95</v>
      </c>
      <c r="I18" s="3">
        <v>163400</v>
      </c>
      <c r="J18" s="3">
        <v>163401</v>
      </c>
      <c r="K18" s="2">
        <v>3</v>
      </c>
      <c r="L18" s="3">
        <v>54467</v>
      </c>
    </row>
    <row r="19" spans="1:12" x14ac:dyDescent="0.25">
      <c r="A19" s="2" t="s">
        <v>44</v>
      </c>
      <c r="B19" s="2" t="s">
        <v>11</v>
      </c>
      <c r="C19" s="2">
        <v>0</v>
      </c>
      <c r="D19" s="2">
        <v>17</v>
      </c>
      <c r="E19" s="2">
        <v>1</v>
      </c>
      <c r="F19" s="2">
        <v>18</v>
      </c>
      <c r="G19" s="2"/>
      <c r="H19" s="8">
        <v>0.45</v>
      </c>
      <c r="I19" s="3">
        <v>39600</v>
      </c>
      <c r="J19" s="3">
        <v>39600</v>
      </c>
      <c r="K19" s="2">
        <v>5</v>
      </c>
      <c r="L19" s="3">
        <v>7920</v>
      </c>
    </row>
    <row r="20" spans="1:12" x14ac:dyDescent="0.25">
      <c r="A20" s="2" t="s">
        <v>45</v>
      </c>
      <c r="B20" s="2" t="s">
        <v>7</v>
      </c>
      <c r="C20" s="2">
        <v>12</v>
      </c>
      <c r="D20" s="2">
        <v>39</v>
      </c>
      <c r="E20" s="2">
        <v>0</v>
      </c>
      <c r="F20" s="2">
        <v>51</v>
      </c>
      <c r="G20" s="2"/>
      <c r="H20" s="8">
        <v>1.2749999999999999</v>
      </c>
      <c r="I20" s="3">
        <v>371025</v>
      </c>
      <c r="J20" s="3">
        <v>371028</v>
      </c>
      <c r="K20" s="2">
        <v>6</v>
      </c>
      <c r="L20" s="3">
        <v>61838</v>
      </c>
    </row>
    <row r="21" spans="1:12" x14ac:dyDescent="0.25">
      <c r="A21" s="2" t="s">
        <v>45</v>
      </c>
      <c r="B21" s="2" t="s">
        <v>9</v>
      </c>
      <c r="C21" s="2">
        <v>0</v>
      </c>
      <c r="D21" s="2">
        <v>0</v>
      </c>
      <c r="E21" s="2">
        <v>33</v>
      </c>
      <c r="F21" s="2">
        <v>33</v>
      </c>
      <c r="G21" s="2"/>
      <c r="H21" s="8">
        <v>0.82499999999999996</v>
      </c>
      <c r="I21" s="3">
        <v>81675</v>
      </c>
      <c r="J21" s="3">
        <v>81675</v>
      </c>
      <c r="K21" s="2">
        <v>5</v>
      </c>
      <c r="L21" s="3">
        <v>16335</v>
      </c>
    </row>
    <row r="22" spans="1:12" x14ac:dyDescent="0.25">
      <c r="A22" s="2" t="s">
        <v>45</v>
      </c>
      <c r="B22" s="2" t="s">
        <v>11</v>
      </c>
      <c r="C22" s="2">
        <v>0</v>
      </c>
      <c r="D22" s="2">
        <v>0</v>
      </c>
      <c r="E22" s="2">
        <v>26</v>
      </c>
      <c r="F22" s="2">
        <v>26</v>
      </c>
      <c r="G22" s="2"/>
      <c r="H22" s="8">
        <v>0.65</v>
      </c>
      <c r="I22" s="3">
        <v>50700</v>
      </c>
      <c r="J22" s="3">
        <v>50700</v>
      </c>
      <c r="K22" s="2">
        <v>5</v>
      </c>
      <c r="L22" s="3">
        <v>10140</v>
      </c>
    </row>
    <row r="23" spans="1:12" x14ac:dyDescent="0.25">
      <c r="A23" s="2" t="s">
        <v>46</v>
      </c>
      <c r="B23" s="2" t="s">
        <v>7</v>
      </c>
      <c r="C23" s="2">
        <v>0</v>
      </c>
      <c r="D23" s="2">
        <v>1</v>
      </c>
      <c r="E23" s="2">
        <v>20</v>
      </c>
      <c r="F23" s="2">
        <v>21</v>
      </c>
      <c r="G23" s="2"/>
      <c r="H23" s="8">
        <v>0.52500000000000002</v>
      </c>
      <c r="I23" s="3">
        <v>34125</v>
      </c>
      <c r="J23" s="3">
        <v>34128</v>
      </c>
      <c r="K23" s="2">
        <v>6</v>
      </c>
      <c r="L23" s="3">
        <v>5688</v>
      </c>
    </row>
    <row r="24" spans="1:12" x14ac:dyDescent="0.25">
      <c r="A24" s="2" t="s">
        <v>46</v>
      </c>
      <c r="B24" s="2" t="s">
        <v>9</v>
      </c>
      <c r="C24" s="2">
        <v>0</v>
      </c>
      <c r="D24" s="2">
        <v>32</v>
      </c>
      <c r="E24" s="2">
        <v>13</v>
      </c>
      <c r="F24" s="2">
        <v>45</v>
      </c>
      <c r="G24" s="2"/>
      <c r="H24" s="8">
        <v>1.125</v>
      </c>
      <c r="I24" s="3">
        <v>223875</v>
      </c>
      <c r="J24" s="3">
        <v>223876</v>
      </c>
      <c r="K24" s="2">
        <v>4</v>
      </c>
      <c r="L24" s="3">
        <v>55969</v>
      </c>
    </row>
    <row r="25" spans="1:12" x14ac:dyDescent="0.25">
      <c r="A25" s="2" t="s">
        <v>46</v>
      </c>
      <c r="B25" s="2" t="s">
        <v>11</v>
      </c>
      <c r="C25" s="2">
        <v>1</v>
      </c>
      <c r="D25" s="2">
        <v>2</v>
      </c>
      <c r="E25" s="2">
        <v>24</v>
      </c>
      <c r="F25" s="2">
        <v>27</v>
      </c>
      <c r="G25" s="2"/>
      <c r="H25" s="8">
        <v>0.67500000000000004</v>
      </c>
      <c r="I25" s="3">
        <v>60750</v>
      </c>
      <c r="J25" s="3">
        <v>60750</v>
      </c>
      <c r="K25" s="2">
        <v>6</v>
      </c>
      <c r="L25" s="3">
        <v>10125</v>
      </c>
    </row>
    <row r="26" spans="1:12" x14ac:dyDescent="0.25">
      <c r="A26" s="2" t="s">
        <v>47</v>
      </c>
      <c r="B26" s="2" t="s">
        <v>7</v>
      </c>
      <c r="C26" s="2">
        <v>0</v>
      </c>
      <c r="D26" s="2">
        <v>0</v>
      </c>
      <c r="E26" s="2">
        <v>27</v>
      </c>
      <c r="F26" s="2">
        <v>27</v>
      </c>
      <c r="G26" s="2"/>
      <c r="H26" s="8">
        <v>0.67500000000000004</v>
      </c>
      <c r="I26" s="3">
        <v>54675</v>
      </c>
      <c r="J26" s="3">
        <v>54672</v>
      </c>
      <c r="K26" s="2">
        <v>6</v>
      </c>
      <c r="L26" s="3">
        <v>9112</v>
      </c>
    </row>
    <row r="27" spans="1:12" x14ac:dyDescent="0.25">
      <c r="A27" s="2" t="s">
        <v>47</v>
      </c>
      <c r="B27" s="2" t="s">
        <v>9</v>
      </c>
      <c r="C27" s="2">
        <v>0</v>
      </c>
      <c r="D27" s="2">
        <v>22</v>
      </c>
      <c r="E27" s="2">
        <v>26</v>
      </c>
      <c r="F27" s="2">
        <v>48</v>
      </c>
      <c r="G27" s="2"/>
      <c r="H27" s="8">
        <v>1.2</v>
      </c>
      <c r="I27" s="3">
        <v>225600</v>
      </c>
      <c r="J27" s="3">
        <v>225600</v>
      </c>
      <c r="K27" s="2">
        <v>5</v>
      </c>
      <c r="L27" s="3">
        <v>45120</v>
      </c>
    </row>
    <row r="28" spans="1:12" x14ac:dyDescent="0.25">
      <c r="A28" s="2" t="s">
        <v>47</v>
      </c>
      <c r="B28" s="2" t="s">
        <v>11</v>
      </c>
      <c r="C28" s="2">
        <v>0</v>
      </c>
      <c r="D28" s="2">
        <v>0</v>
      </c>
      <c r="E28" s="2">
        <v>25</v>
      </c>
      <c r="F28" s="2">
        <v>25</v>
      </c>
      <c r="G28" s="2"/>
      <c r="H28" s="8">
        <v>0.625</v>
      </c>
      <c r="I28" s="3">
        <v>46875</v>
      </c>
      <c r="J28" s="3">
        <v>46872</v>
      </c>
      <c r="K28" s="2">
        <v>7</v>
      </c>
      <c r="L28" s="3">
        <v>6696</v>
      </c>
    </row>
    <row r="29" spans="1:12" x14ac:dyDescent="0.25">
      <c r="A29" s="2" t="s">
        <v>48</v>
      </c>
      <c r="B29" s="2" t="s">
        <v>7</v>
      </c>
      <c r="C29" s="2">
        <v>9</v>
      </c>
      <c r="D29" s="2">
        <v>18</v>
      </c>
      <c r="E29" s="2">
        <v>8</v>
      </c>
      <c r="F29" s="2">
        <v>35</v>
      </c>
      <c r="G29" s="2"/>
      <c r="H29" s="8">
        <v>0.875</v>
      </c>
      <c r="I29" s="3">
        <v>162750</v>
      </c>
      <c r="J29" s="3">
        <v>162750</v>
      </c>
      <c r="K29" s="2">
        <v>6</v>
      </c>
      <c r="L29" s="3">
        <v>27125</v>
      </c>
    </row>
    <row r="30" spans="1:12" x14ac:dyDescent="0.25">
      <c r="A30" s="2" t="s">
        <v>48</v>
      </c>
      <c r="B30" s="2" t="s">
        <v>9</v>
      </c>
      <c r="C30" s="2">
        <v>0</v>
      </c>
      <c r="D30" s="2">
        <v>0</v>
      </c>
      <c r="E30" s="2">
        <v>27</v>
      </c>
      <c r="F30" s="2">
        <v>27</v>
      </c>
      <c r="G30" s="2"/>
      <c r="H30" s="8">
        <v>0.67500000000000004</v>
      </c>
      <c r="I30" s="3">
        <v>54675</v>
      </c>
      <c r="J30" s="3">
        <v>54676</v>
      </c>
      <c r="K30" s="2">
        <v>4</v>
      </c>
      <c r="L30" s="3">
        <v>13669</v>
      </c>
    </row>
    <row r="31" spans="1:12" x14ac:dyDescent="0.25">
      <c r="A31" s="2" t="s">
        <v>48</v>
      </c>
      <c r="B31" s="2" t="s">
        <v>11</v>
      </c>
      <c r="C31" s="2">
        <v>17</v>
      </c>
      <c r="D31" s="2">
        <v>0</v>
      </c>
      <c r="E31" s="2">
        <v>6</v>
      </c>
      <c r="F31" s="2">
        <v>23</v>
      </c>
      <c r="G31" s="2"/>
      <c r="H31" s="8">
        <v>0.57499999999999996</v>
      </c>
      <c r="I31" s="3">
        <v>88550</v>
      </c>
      <c r="J31" s="3">
        <v>88552</v>
      </c>
      <c r="K31" s="2">
        <v>8</v>
      </c>
      <c r="L31" s="3">
        <v>11069</v>
      </c>
    </row>
    <row r="32" spans="1:12" x14ac:dyDescent="0.25">
      <c r="A32" s="2" t="s">
        <v>49</v>
      </c>
      <c r="B32" s="2" t="s">
        <v>7</v>
      </c>
      <c r="C32" s="2">
        <v>0</v>
      </c>
      <c r="D32" s="2">
        <v>27</v>
      </c>
      <c r="E32" s="2">
        <v>12</v>
      </c>
      <c r="F32" s="2">
        <v>39</v>
      </c>
      <c r="G32" s="2"/>
      <c r="H32" s="8">
        <v>0.97499999999999998</v>
      </c>
      <c r="I32" s="3">
        <v>166725</v>
      </c>
      <c r="J32" s="3">
        <v>166728</v>
      </c>
      <c r="K32" s="2">
        <v>6</v>
      </c>
      <c r="L32" s="3">
        <v>27788</v>
      </c>
    </row>
    <row r="33" spans="1:12" x14ac:dyDescent="0.25">
      <c r="A33" s="2" t="s">
        <v>49</v>
      </c>
      <c r="B33" s="2" t="s">
        <v>9</v>
      </c>
      <c r="C33" s="2">
        <v>0</v>
      </c>
      <c r="D33" s="2">
        <v>33.5</v>
      </c>
      <c r="E33" s="2">
        <v>15</v>
      </c>
      <c r="F33" s="2">
        <v>48.5</v>
      </c>
      <c r="G33" s="2"/>
      <c r="H33" s="8">
        <v>1.2124999999999999</v>
      </c>
      <c r="I33" s="3">
        <v>257656</v>
      </c>
      <c r="J33" s="3">
        <v>257658</v>
      </c>
      <c r="K33" s="2">
        <v>6</v>
      </c>
      <c r="L33" s="3">
        <v>42943</v>
      </c>
    </row>
    <row r="34" spans="1:12" x14ac:dyDescent="0.25">
      <c r="A34" s="2" t="s">
        <v>49</v>
      </c>
      <c r="B34" s="2" t="s">
        <v>11</v>
      </c>
      <c r="C34" s="2">
        <v>9</v>
      </c>
      <c r="D34" s="2">
        <v>0</v>
      </c>
      <c r="E34" s="2">
        <v>20</v>
      </c>
      <c r="F34" s="2">
        <v>29</v>
      </c>
      <c r="G34" s="2"/>
      <c r="H34" s="8">
        <v>0.72499999999999998</v>
      </c>
      <c r="I34" s="3">
        <v>95700</v>
      </c>
      <c r="J34" s="3">
        <v>95697</v>
      </c>
      <c r="K34" s="2">
        <v>7</v>
      </c>
      <c r="L34" s="3">
        <v>13671</v>
      </c>
    </row>
    <row r="35" spans="1:12" x14ac:dyDescent="0.25">
      <c r="A35" s="2" t="s">
        <v>50</v>
      </c>
      <c r="B35" s="2" t="s">
        <v>7</v>
      </c>
      <c r="C35" s="2">
        <v>6</v>
      </c>
      <c r="D35" s="2">
        <v>0</v>
      </c>
      <c r="E35" s="2">
        <v>36</v>
      </c>
      <c r="F35" s="2">
        <v>42</v>
      </c>
      <c r="G35" s="2"/>
      <c r="H35" s="8">
        <v>1.05</v>
      </c>
      <c r="I35" s="3">
        <v>163800</v>
      </c>
      <c r="J35" s="3">
        <v>163800</v>
      </c>
      <c r="K35" s="2">
        <v>6</v>
      </c>
      <c r="L35" s="3">
        <v>27300</v>
      </c>
    </row>
    <row r="36" spans="1:12" x14ac:dyDescent="0.25">
      <c r="A36" s="2" t="s">
        <v>50</v>
      </c>
      <c r="B36" s="2" t="s">
        <v>9</v>
      </c>
      <c r="C36" s="2">
        <v>0</v>
      </c>
      <c r="D36" s="2">
        <v>0</v>
      </c>
      <c r="E36" s="2">
        <v>18</v>
      </c>
      <c r="F36" s="2">
        <v>18</v>
      </c>
      <c r="G36" s="2"/>
      <c r="H36" s="8">
        <v>0.45</v>
      </c>
      <c r="I36" s="3">
        <v>24300</v>
      </c>
      <c r="J36" s="3">
        <v>24300</v>
      </c>
      <c r="K36" s="2">
        <v>6</v>
      </c>
      <c r="L36" s="3">
        <v>4050</v>
      </c>
    </row>
    <row r="37" spans="1:12" x14ac:dyDescent="0.25">
      <c r="A37" s="2" t="s">
        <v>50</v>
      </c>
      <c r="B37" s="2" t="s">
        <v>11</v>
      </c>
      <c r="C37" s="2">
        <v>2</v>
      </c>
      <c r="D37" s="2">
        <v>0</v>
      </c>
      <c r="E37" s="2">
        <v>28</v>
      </c>
      <c r="F37" s="2">
        <v>30</v>
      </c>
      <c r="G37" s="2"/>
      <c r="H37" s="8">
        <v>0.75</v>
      </c>
      <c r="I37" s="3">
        <v>75000</v>
      </c>
      <c r="J37" s="3">
        <v>75000</v>
      </c>
      <c r="K37" s="2">
        <v>8</v>
      </c>
      <c r="L37" s="3">
        <v>9375</v>
      </c>
    </row>
    <row r="38" spans="1:12" x14ac:dyDescent="0.25">
      <c r="A38" s="2" t="s">
        <v>6</v>
      </c>
      <c r="B38" s="2" t="s">
        <v>7</v>
      </c>
      <c r="C38" s="2">
        <v>3</v>
      </c>
      <c r="D38" s="2">
        <v>0</v>
      </c>
      <c r="E38" s="2">
        <v>37</v>
      </c>
      <c r="F38" s="2">
        <v>40</v>
      </c>
      <c r="G38" s="4" t="s">
        <v>40</v>
      </c>
      <c r="H38" s="8">
        <v>1</v>
      </c>
      <c r="I38" s="3">
        <v>135000</v>
      </c>
      <c r="J38" s="3">
        <v>135000</v>
      </c>
      <c r="K38" s="2">
        <v>6</v>
      </c>
      <c r="L38" s="3">
        <v>22500</v>
      </c>
    </row>
    <row r="39" spans="1:12" x14ac:dyDescent="0.25">
      <c r="A39" s="2" t="s">
        <v>6</v>
      </c>
      <c r="B39" s="2" t="s">
        <v>9</v>
      </c>
      <c r="C39" s="2">
        <v>0</v>
      </c>
      <c r="D39" s="2">
        <v>46</v>
      </c>
      <c r="E39" s="2">
        <v>0</v>
      </c>
      <c r="F39" s="2">
        <v>46</v>
      </c>
      <c r="G39" s="2"/>
      <c r="H39" s="8">
        <v>1.1499999999999999</v>
      </c>
      <c r="I39" s="3">
        <v>264500</v>
      </c>
      <c r="J39" s="3">
        <v>264498</v>
      </c>
      <c r="K39" s="2">
        <v>6</v>
      </c>
      <c r="L39" s="3">
        <v>44083</v>
      </c>
    </row>
    <row r="40" spans="1:12" x14ac:dyDescent="0.25">
      <c r="A40" s="2" t="s">
        <v>6</v>
      </c>
      <c r="B40" s="2" t="s">
        <v>11</v>
      </c>
      <c r="C40" s="2">
        <v>17</v>
      </c>
      <c r="D40" s="2">
        <v>0</v>
      </c>
      <c r="E40" s="2">
        <v>16</v>
      </c>
      <c r="F40" s="2">
        <v>33</v>
      </c>
      <c r="G40" s="2"/>
      <c r="H40" s="8">
        <v>0.82499999999999996</v>
      </c>
      <c r="I40" s="3">
        <v>151800</v>
      </c>
      <c r="J40" s="3">
        <v>151802</v>
      </c>
      <c r="K40" s="2">
        <v>7</v>
      </c>
      <c r="L40" s="3">
        <v>21686</v>
      </c>
    </row>
    <row r="41" spans="1:12" x14ac:dyDescent="0.25">
      <c r="A41" s="2" t="s">
        <v>8</v>
      </c>
      <c r="B41" s="2" t="s">
        <v>7</v>
      </c>
      <c r="C41" s="2">
        <v>0</v>
      </c>
      <c r="D41" s="2">
        <v>43</v>
      </c>
      <c r="E41" s="2">
        <v>7</v>
      </c>
      <c r="F41" s="2">
        <v>50</v>
      </c>
      <c r="G41" s="2"/>
      <c r="H41" s="8">
        <v>1.25</v>
      </c>
      <c r="I41" s="3">
        <v>295000</v>
      </c>
      <c r="J41" s="3">
        <v>295001</v>
      </c>
      <c r="K41" s="2">
        <v>7</v>
      </c>
      <c r="L41" s="3">
        <v>42143</v>
      </c>
    </row>
    <row r="42" spans="1:12" x14ac:dyDescent="0.25">
      <c r="A42" s="2" t="s">
        <v>8</v>
      </c>
      <c r="B42" s="2" t="s">
        <v>9</v>
      </c>
      <c r="C42" s="2">
        <v>0</v>
      </c>
      <c r="D42" s="2">
        <v>0</v>
      </c>
      <c r="E42" s="2">
        <v>30</v>
      </c>
      <c r="F42" s="2">
        <v>30</v>
      </c>
      <c r="G42" s="2"/>
      <c r="H42" s="8">
        <v>0.75</v>
      </c>
      <c r="I42" s="3">
        <v>67500</v>
      </c>
      <c r="J42" s="3">
        <v>67500</v>
      </c>
      <c r="K42" s="2">
        <v>6</v>
      </c>
      <c r="L42" s="3">
        <v>11250</v>
      </c>
    </row>
    <row r="43" spans="1:12" x14ac:dyDescent="0.25">
      <c r="A43" s="2" t="s">
        <v>8</v>
      </c>
      <c r="B43" s="2" t="s">
        <v>11</v>
      </c>
      <c r="C43" s="2">
        <v>0</v>
      </c>
      <c r="D43" s="2">
        <v>8</v>
      </c>
      <c r="E43" s="2">
        <v>25</v>
      </c>
      <c r="F43" s="2">
        <v>33</v>
      </c>
      <c r="G43" s="2"/>
      <c r="H43" s="8">
        <v>0.82499999999999996</v>
      </c>
      <c r="I43" s="3">
        <v>94875</v>
      </c>
      <c r="J43" s="3">
        <v>94878</v>
      </c>
      <c r="K43" s="2">
        <v>7</v>
      </c>
      <c r="L43" s="3">
        <v>13554</v>
      </c>
    </row>
    <row r="44" spans="1:12" x14ac:dyDescent="0.25">
      <c r="A44" s="2" t="s">
        <v>10</v>
      </c>
      <c r="B44" s="2" t="s">
        <v>7</v>
      </c>
      <c r="C44" s="2">
        <v>0</v>
      </c>
      <c r="D44" s="2">
        <v>3</v>
      </c>
      <c r="E44" s="2">
        <v>35</v>
      </c>
      <c r="F44" s="2">
        <v>38</v>
      </c>
      <c r="G44" s="2"/>
      <c r="H44" s="8">
        <v>0.95</v>
      </c>
      <c r="I44" s="3">
        <v>114000</v>
      </c>
      <c r="J44" s="3">
        <v>114000</v>
      </c>
      <c r="K44" s="2">
        <v>6</v>
      </c>
      <c r="L44" s="3">
        <v>19000</v>
      </c>
    </row>
    <row r="45" spans="1:12" x14ac:dyDescent="0.25">
      <c r="A45" s="2" t="s">
        <v>10</v>
      </c>
      <c r="B45" s="2" t="s">
        <v>9</v>
      </c>
      <c r="C45" s="2">
        <v>2</v>
      </c>
      <c r="D45" s="2">
        <v>2</v>
      </c>
      <c r="E45" s="2">
        <v>38</v>
      </c>
      <c r="F45" s="2">
        <v>42</v>
      </c>
      <c r="G45" s="2"/>
      <c r="H45" s="8">
        <v>1.05</v>
      </c>
      <c r="I45" s="3">
        <v>147000</v>
      </c>
      <c r="J45" s="3">
        <v>147000</v>
      </c>
      <c r="K45" s="2">
        <v>6</v>
      </c>
      <c r="L45" s="3">
        <v>24500</v>
      </c>
    </row>
    <row r="46" spans="1:12" x14ac:dyDescent="0.25">
      <c r="A46" s="2" t="s">
        <v>10</v>
      </c>
      <c r="B46" s="2" t="s">
        <v>11</v>
      </c>
      <c r="C46" s="2">
        <v>8</v>
      </c>
      <c r="D46" s="2">
        <v>8</v>
      </c>
      <c r="E46" s="2">
        <v>16</v>
      </c>
      <c r="F46" s="2">
        <v>32</v>
      </c>
      <c r="G46" s="2"/>
      <c r="H46" s="8">
        <v>0.8</v>
      </c>
      <c r="I46" s="3">
        <v>121600</v>
      </c>
      <c r="J46" s="3">
        <v>121597</v>
      </c>
      <c r="K46" s="2">
        <v>7</v>
      </c>
      <c r="L46" s="3">
        <v>17371</v>
      </c>
    </row>
    <row r="47" spans="1:12" x14ac:dyDescent="0.25">
      <c r="A47" s="2" t="s">
        <v>12</v>
      </c>
      <c r="B47" s="2" t="s">
        <v>7</v>
      </c>
      <c r="C47" s="2">
        <v>7</v>
      </c>
      <c r="D47" s="2">
        <v>0</v>
      </c>
      <c r="E47" s="2">
        <v>25</v>
      </c>
      <c r="F47" s="2">
        <v>32</v>
      </c>
      <c r="G47" s="2"/>
      <c r="H47" s="8">
        <v>0.8</v>
      </c>
      <c r="I47" s="3">
        <v>104800</v>
      </c>
      <c r="J47" s="3">
        <v>104802</v>
      </c>
      <c r="K47" s="2">
        <v>6</v>
      </c>
      <c r="L47" s="3">
        <v>17467</v>
      </c>
    </row>
    <row r="48" spans="1:12" x14ac:dyDescent="0.25">
      <c r="A48" s="2" t="s">
        <v>12</v>
      </c>
      <c r="B48" s="2" t="s">
        <v>9</v>
      </c>
      <c r="C48" s="2">
        <v>0</v>
      </c>
      <c r="D48" s="2">
        <v>45</v>
      </c>
      <c r="E48" s="2">
        <v>3</v>
      </c>
      <c r="F48" s="2">
        <v>48</v>
      </c>
      <c r="G48" s="2"/>
      <c r="H48" s="8">
        <v>1.2</v>
      </c>
      <c r="I48" s="3">
        <v>280800</v>
      </c>
      <c r="J48" s="3">
        <v>280800</v>
      </c>
      <c r="K48" s="2">
        <v>6</v>
      </c>
      <c r="L48" s="3">
        <v>46800</v>
      </c>
    </row>
    <row r="49" spans="1:12" x14ac:dyDescent="0.25">
      <c r="A49" s="2" t="s">
        <v>12</v>
      </c>
      <c r="B49" s="2" t="s">
        <v>11</v>
      </c>
      <c r="C49" s="2">
        <v>6</v>
      </c>
      <c r="D49" s="2">
        <v>6</v>
      </c>
      <c r="E49" s="2">
        <v>15</v>
      </c>
      <c r="F49" s="2">
        <v>27</v>
      </c>
      <c r="G49" s="2"/>
      <c r="H49" s="8">
        <v>0.67500000000000004</v>
      </c>
      <c r="I49" s="3">
        <v>83025</v>
      </c>
      <c r="J49" s="3">
        <v>83027</v>
      </c>
      <c r="K49" s="2">
        <v>7</v>
      </c>
      <c r="L49" s="3">
        <v>11861</v>
      </c>
    </row>
    <row r="50" spans="1:12" x14ac:dyDescent="0.25">
      <c r="A50" s="2" t="s">
        <v>13</v>
      </c>
      <c r="B50" s="2" t="s">
        <v>7</v>
      </c>
      <c r="C50" s="2">
        <v>0</v>
      </c>
      <c r="D50" s="2">
        <v>0</v>
      </c>
      <c r="E50" s="2">
        <v>32</v>
      </c>
      <c r="F50" s="2">
        <v>32</v>
      </c>
      <c r="G50" s="2"/>
      <c r="H50" s="8">
        <v>0.8</v>
      </c>
      <c r="I50" s="3">
        <v>76800</v>
      </c>
      <c r="J50" s="3">
        <v>76800</v>
      </c>
      <c r="K50" s="2">
        <v>6</v>
      </c>
      <c r="L50" s="3">
        <v>12800</v>
      </c>
    </row>
    <row r="51" spans="1:12" x14ac:dyDescent="0.25">
      <c r="A51" s="2" t="s">
        <v>13</v>
      </c>
      <c r="B51" s="2" t="s">
        <v>9</v>
      </c>
      <c r="C51" s="2">
        <v>0</v>
      </c>
      <c r="D51" s="2">
        <v>0</v>
      </c>
      <c r="E51" s="2">
        <v>20</v>
      </c>
      <c r="F51" s="2">
        <v>20</v>
      </c>
      <c r="G51" s="2"/>
      <c r="H51" s="8">
        <v>0.5</v>
      </c>
      <c r="I51" s="3">
        <v>30000</v>
      </c>
      <c r="J51" s="3">
        <v>30000</v>
      </c>
      <c r="K51" s="2">
        <v>6</v>
      </c>
      <c r="L51" s="3">
        <v>5000</v>
      </c>
    </row>
    <row r="52" spans="1:12" x14ac:dyDescent="0.25">
      <c r="A52" s="2" t="s">
        <v>13</v>
      </c>
      <c r="B52" s="2" t="s">
        <v>11</v>
      </c>
      <c r="C52" s="2">
        <v>0</v>
      </c>
      <c r="D52" s="2">
        <v>2</v>
      </c>
      <c r="E52" s="2">
        <v>34</v>
      </c>
      <c r="F52" s="2">
        <v>36</v>
      </c>
      <c r="G52" s="2"/>
      <c r="H52" s="8">
        <v>0.9</v>
      </c>
      <c r="I52" s="3">
        <v>100800</v>
      </c>
      <c r="J52" s="3">
        <v>100800</v>
      </c>
      <c r="K52" s="2">
        <v>7</v>
      </c>
      <c r="L52" s="3">
        <v>14400</v>
      </c>
    </row>
    <row r="53" spans="1:12" x14ac:dyDescent="0.25">
      <c r="A53" s="2" t="s">
        <v>14</v>
      </c>
      <c r="B53" s="2" t="s">
        <v>7</v>
      </c>
      <c r="C53" s="2">
        <v>37.5</v>
      </c>
      <c r="D53" s="2">
        <v>0</v>
      </c>
      <c r="E53" s="2">
        <v>3</v>
      </c>
      <c r="F53" s="2">
        <v>40.5</v>
      </c>
      <c r="G53" s="2"/>
      <c r="H53" s="8">
        <v>1.0125</v>
      </c>
      <c r="I53" s="3">
        <v>312862</v>
      </c>
      <c r="J53" s="3">
        <v>312864</v>
      </c>
      <c r="K53" s="2">
        <v>6</v>
      </c>
      <c r="L53" s="3">
        <v>52144</v>
      </c>
    </row>
    <row r="54" spans="1:12" x14ac:dyDescent="0.25">
      <c r="A54" s="2" t="s">
        <v>14</v>
      </c>
      <c r="B54" s="2" t="s">
        <v>9</v>
      </c>
      <c r="C54" s="2">
        <v>37</v>
      </c>
      <c r="D54" s="2">
        <v>0</v>
      </c>
      <c r="E54" s="2">
        <v>6</v>
      </c>
      <c r="F54" s="2">
        <v>43</v>
      </c>
      <c r="G54" s="2"/>
      <c r="H54" s="8">
        <v>1.075</v>
      </c>
      <c r="I54" s="3">
        <v>337550</v>
      </c>
      <c r="J54" s="3">
        <v>337548</v>
      </c>
      <c r="K54" s="2">
        <v>6</v>
      </c>
      <c r="L54" s="3">
        <v>56258</v>
      </c>
    </row>
    <row r="55" spans="1:12" x14ac:dyDescent="0.25">
      <c r="A55" s="2" t="s">
        <v>14</v>
      </c>
      <c r="B55" s="2" t="s">
        <v>11</v>
      </c>
      <c r="C55" s="2">
        <v>0</v>
      </c>
      <c r="D55" s="2">
        <v>38</v>
      </c>
      <c r="E55" s="2">
        <v>3</v>
      </c>
      <c r="F55" s="2">
        <v>41</v>
      </c>
      <c r="G55" s="2"/>
      <c r="H55" s="8">
        <v>1.0249999999999999</v>
      </c>
      <c r="I55" s="3">
        <v>203975</v>
      </c>
      <c r="J55" s="3">
        <v>203976</v>
      </c>
      <c r="K55" s="2">
        <v>8</v>
      </c>
      <c r="L55" s="3">
        <v>25497</v>
      </c>
    </row>
    <row r="56" spans="1:12" x14ac:dyDescent="0.25">
      <c r="A56" s="2" t="s">
        <v>15</v>
      </c>
      <c r="B56" s="2" t="s">
        <v>7</v>
      </c>
      <c r="C56" s="2">
        <v>12</v>
      </c>
      <c r="D56" s="2">
        <v>0</v>
      </c>
      <c r="E56" s="2">
        <v>3</v>
      </c>
      <c r="F56" s="2">
        <v>15</v>
      </c>
      <c r="G56" s="2"/>
      <c r="H56" s="8">
        <v>0.375</v>
      </c>
      <c r="I56" s="3">
        <v>39375</v>
      </c>
      <c r="J56" s="3">
        <v>39372</v>
      </c>
      <c r="K56" s="2">
        <v>6</v>
      </c>
      <c r="L56" s="3">
        <v>6562</v>
      </c>
    </row>
    <row r="57" spans="1:12" x14ac:dyDescent="0.25">
      <c r="A57" s="2" t="s">
        <v>15</v>
      </c>
      <c r="B57" s="2" t="s">
        <v>9</v>
      </c>
      <c r="C57" s="2">
        <v>0</v>
      </c>
      <c r="D57" s="2">
        <v>0</v>
      </c>
      <c r="E57" s="2">
        <v>32</v>
      </c>
      <c r="F57" s="2">
        <v>32</v>
      </c>
      <c r="G57" s="2"/>
      <c r="H57" s="8">
        <v>0.8</v>
      </c>
      <c r="I57" s="3">
        <v>76800</v>
      </c>
      <c r="J57" s="3">
        <v>76800</v>
      </c>
      <c r="K57" s="2">
        <v>5</v>
      </c>
      <c r="L57" s="3">
        <v>15360</v>
      </c>
    </row>
    <row r="58" spans="1:12" x14ac:dyDescent="0.25">
      <c r="A58" s="2" t="s">
        <v>15</v>
      </c>
      <c r="B58" s="2" t="s">
        <v>11</v>
      </c>
      <c r="C58" s="2">
        <v>9</v>
      </c>
      <c r="D58" s="2">
        <v>0</v>
      </c>
      <c r="E58" s="2">
        <v>43</v>
      </c>
      <c r="F58" s="2">
        <v>52</v>
      </c>
      <c r="G58" s="2"/>
      <c r="H58" s="8">
        <v>1.3</v>
      </c>
      <c r="I58" s="3">
        <v>261300</v>
      </c>
      <c r="J58" s="3">
        <v>261303</v>
      </c>
      <c r="K58" s="2">
        <v>7</v>
      </c>
      <c r="L58" s="3">
        <v>37329</v>
      </c>
    </row>
    <row r="59" spans="1:12" x14ac:dyDescent="0.25">
      <c r="A59" s="2" t="s">
        <v>16</v>
      </c>
      <c r="B59" s="2" t="s">
        <v>7</v>
      </c>
      <c r="C59" s="2">
        <v>9</v>
      </c>
      <c r="D59" s="2">
        <v>0</v>
      </c>
      <c r="E59" s="2">
        <v>20</v>
      </c>
      <c r="F59" s="2">
        <v>29</v>
      </c>
      <c r="G59" s="2"/>
      <c r="H59" s="8">
        <v>0.72499999999999998</v>
      </c>
      <c r="I59" s="3">
        <v>95700</v>
      </c>
      <c r="J59" s="3">
        <v>95700</v>
      </c>
      <c r="K59" s="2">
        <v>6</v>
      </c>
      <c r="L59" s="3">
        <v>15950</v>
      </c>
    </row>
    <row r="60" spans="1:12" x14ac:dyDescent="0.25">
      <c r="A60" s="2" t="s">
        <v>16</v>
      </c>
      <c r="B60" s="2" t="s">
        <v>9</v>
      </c>
      <c r="C60" s="2">
        <v>3</v>
      </c>
      <c r="D60" s="2">
        <v>39</v>
      </c>
      <c r="E60" s="2">
        <v>0</v>
      </c>
      <c r="F60" s="2">
        <v>42</v>
      </c>
      <c r="G60" s="2"/>
      <c r="H60" s="8">
        <v>1.05</v>
      </c>
      <c r="I60" s="3">
        <v>229950</v>
      </c>
      <c r="J60" s="3">
        <v>229950</v>
      </c>
      <c r="K60" s="2">
        <v>5</v>
      </c>
      <c r="L60" s="3">
        <v>45990</v>
      </c>
    </row>
    <row r="61" spans="1:12" x14ac:dyDescent="0.25">
      <c r="A61" s="2" t="s">
        <v>16</v>
      </c>
      <c r="B61" s="2" t="s">
        <v>11</v>
      </c>
      <c r="C61" s="2">
        <v>55</v>
      </c>
      <c r="D61" s="2">
        <v>0</v>
      </c>
      <c r="E61" s="2">
        <v>0</v>
      </c>
      <c r="F61" s="2">
        <v>55</v>
      </c>
      <c r="G61" s="2"/>
      <c r="H61" s="8">
        <v>1.375</v>
      </c>
      <c r="I61" s="3">
        <v>605000</v>
      </c>
      <c r="J61" s="3">
        <v>605003</v>
      </c>
      <c r="K61" s="2">
        <v>7</v>
      </c>
      <c r="L61" s="3">
        <v>86429</v>
      </c>
    </row>
    <row r="62" spans="1:12" x14ac:dyDescent="0.25">
      <c r="A62" s="2" t="s">
        <v>17</v>
      </c>
      <c r="B62" s="2" t="s">
        <v>7</v>
      </c>
      <c r="C62" s="2">
        <v>11</v>
      </c>
      <c r="D62" s="2">
        <v>8</v>
      </c>
      <c r="E62" s="2">
        <v>15</v>
      </c>
      <c r="F62" s="2">
        <v>34</v>
      </c>
      <c r="G62" s="2"/>
      <c r="H62" s="8">
        <v>0.85</v>
      </c>
      <c r="I62" s="3">
        <v>147050</v>
      </c>
      <c r="J62" s="3">
        <v>147048</v>
      </c>
      <c r="K62" s="2">
        <v>6</v>
      </c>
      <c r="L62" s="3">
        <v>24508</v>
      </c>
    </row>
    <row r="63" spans="1:12" x14ac:dyDescent="0.25">
      <c r="A63" s="2" t="s">
        <v>17</v>
      </c>
      <c r="B63" s="2" t="s">
        <v>9</v>
      </c>
      <c r="C63" s="2">
        <v>0</v>
      </c>
      <c r="D63" s="2">
        <v>0</v>
      </c>
      <c r="E63" s="2">
        <v>40</v>
      </c>
      <c r="F63" s="2">
        <v>40</v>
      </c>
      <c r="G63" s="2"/>
      <c r="H63" s="8">
        <v>1</v>
      </c>
      <c r="I63" s="3">
        <v>120000</v>
      </c>
      <c r="J63" s="3">
        <v>120000</v>
      </c>
      <c r="K63" s="2">
        <v>6</v>
      </c>
      <c r="L63" s="3">
        <v>20000</v>
      </c>
    </row>
    <row r="64" spans="1:12" x14ac:dyDescent="0.25">
      <c r="A64" s="2" t="s">
        <v>17</v>
      </c>
      <c r="B64" s="2" t="s">
        <v>11</v>
      </c>
      <c r="C64" s="2">
        <v>0</v>
      </c>
      <c r="D64" s="2">
        <v>9</v>
      </c>
      <c r="E64" s="2">
        <v>22</v>
      </c>
      <c r="F64" s="2">
        <v>31</v>
      </c>
      <c r="G64" s="2"/>
      <c r="H64" s="8">
        <v>0.77500000000000002</v>
      </c>
      <c r="I64" s="3">
        <v>86025</v>
      </c>
      <c r="J64" s="3">
        <v>86023</v>
      </c>
      <c r="K64" s="2">
        <v>7</v>
      </c>
      <c r="L64" s="3">
        <v>12289</v>
      </c>
    </row>
    <row r="65" spans="1:12" x14ac:dyDescent="0.25">
      <c r="A65" s="2" t="s">
        <v>18</v>
      </c>
      <c r="B65" s="2" t="s">
        <v>7</v>
      </c>
      <c r="C65" s="2">
        <v>0</v>
      </c>
      <c r="D65" s="2">
        <v>13</v>
      </c>
      <c r="E65" s="2">
        <v>16</v>
      </c>
      <c r="F65" s="2">
        <v>29</v>
      </c>
      <c r="G65" s="2"/>
      <c r="H65" s="8">
        <v>0.72499999999999998</v>
      </c>
      <c r="I65" s="3">
        <v>81925</v>
      </c>
      <c r="J65" s="3">
        <v>81924</v>
      </c>
      <c r="K65" s="2">
        <v>6</v>
      </c>
      <c r="L65" s="3">
        <v>13654</v>
      </c>
    </row>
    <row r="66" spans="1:12" x14ac:dyDescent="0.25">
      <c r="A66" s="2" t="s">
        <v>18</v>
      </c>
      <c r="B66" s="2" t="s">
        <v>9</v>
      </c>
      <c r="C66" s="2">
        <v>0</v>
      </c>
      <c r="D66" s="2">
        <v>0</v>
      </c>
      <c r="E66" s="2">
        <v>36.5</v>
      </c>
      <c r="F66" s="2">
        <v>36.5</v>
      </c>
      <c r="G66" s="2"/>
      <c r="H66" s="8">
        <v>0.91249999999999998</v>
      </c>
      <c r="I66" s="3">
        <v>99919</v>
      </c>
      <c r="J66" s="3">
        <v>99920</v>
      </c>
      <c r="K66" s="2">
        <v>5</v>
      </c>
      <c r="L66" s="3">
        <v>19984</v>
      </c>
    </row>
    <row r="67" spans="1:12" x14ac:dyDescent="0.25">
      <c r="A67" s="2" t="s">
        <v>18</v>
      </c>
      <c r="B67" s="2" t="s">
        <v>11</v>
      </c>
      <c r="C67" s="2">
        <v>0</v>
      </c>
      <c r="D67" s="2">
        <v>23</v>
      </c>
      <c r="E67" s="2">
        <v>11</v>
      </c>
      <c r="F67" s="2">
        <v>34</v>
      </c>
      <c r="G67" s="2"/>
      <c r="H67" s="8">
        <v>0.85</v>
      </c>
      <c r="I67" s="3">
        <v>125800</v>
      </c>
      <c r="J67" s="3">
        <v>125797</v>
      </c>
      <c r="K67" s="2">
        <v>7</v>
      </c>
      <c r="L67" s="3">
        <v>17971</v>
      </c>
    </row>
    <row r="68" spans="1:12" x14ac:dyDescent="0.25">
      <c r="A68" s="2" t="s">
        <v>20</v>
      </c>
      <c r="B68" s="2" t="s">
        <v>7</v>
      </c>
      <c r="C68" s="2">
        <v>0</v>
      </c>
      <c r="D68" s="2">
        <v>0</v>
      </c>
      <c r="E68" s="2">
        <v>36</v>
      </c>
      <c r="F68" s="2">
        <v>36</v>
      </c>
      <c r="G68" s="2"/>
      <c r="H68" s="8">
        <v>0.9</v>
      </c>
      <c r="I68" s="3">
        <v>97200</v>
      </c>
      <c r="J68" s="3">
        <v>97200</v>
      </c>
      <c r="K68" s="2">
        <v>5</v>
      </c>
      <c r="L68" s="3">
        <v>19440</v>
      </c>
    </row>
    <row r="69" spans="1:12" x14ac:dyDescent="0.25">
      <c r="A69" s="2" t="s">
        <v>20</v>
      </c>
      <c r="B69" s="2" t="s">
        <v>9</v>
      </c>
      <c r="C69" s="2">
        <v>30</v>
      </c>
      <c r="D69" s="2">
        <v>0</v>
      </c>
      <c r="E69" s="2">
        <v>5</v>
      </c>
      <c r="F69" s="2">
        <v>35</v>
      </c>
      <c r="G69" s="2"/>
      <c r="H69" s="8">
        <v>0.875</v>
      </c>
      <c r="I69" s="3">
        <v>223125</v>
      </c>
      <c r="J69" s="3">
        <v>223128</v>
      </c>
      <c r="K69" s="2">
        <v>6</v>
      </c>
      <c r="L69" s="3">
        <v>37188</v>
      </c>
    </row>
    <row r="70" spans="1:12" x14ac:dyDescent="0.25">
      <c r="A70" s="2" t="s">
        <v>20</v>
      </c>
      <c r="B70" s="2" t="s">
        <v>11</v>
      </c>
      <c r="C70" s="2">
        <v>0</v>
      </c>
      <c r="D70" s="2">
        <v>44</v>
      </c>
      <c r="E70" s="2">
        <v>0</v>
      </c>
      <c r="F70" s="2">
        <v>44</v>
      </c>
      <c r="G70" s="2"/>
      <c r="H70" s="8">
        <v>1.1000000000000001</v>
      </c>
      <c r="I70" s="3">
        <v>242000</v>
      </c>
      <c r="J70" s="3">
        <v>241997</v>
      </c>
      <c r="K70" s="2">
        <v>7</v>
      </c>
      <c r="L70" s="3">
        <v>34571</v>
      </c>
    </row>
    <row r="71" spans="1:12" x14ac:dyDescent="0.25">
      <c r="A71" s="2" t="s">
        <v>21</v>
      </c>
      <c r="B71" s="2" t="s">
        <v>7</v>
      </c>
      <c r="C71" s="2">
        <v>0</v>
      </c>
      <c r="D71" s="2">
        <v>10</v>
      </c>
      <c r="E71" s="2">
        <v>34</v>
      </c>
      <c r="F71" s="2">
        <v>44</v>
      </c>
      <c r="G71" s="2"/>
      <c r="H71" s="8">
        <v>1.1000000000000001</v>
      </c>
      <c r="I71" s="3">
        <v>167200</v>
      </c>
      <c r="J71" s="3">
        <v>167202</v>
      </c>
      <c r="K71" s="2">
        <v>6</v>
      </c>
      <c r="L71" s="3">
        <v>27867</v>
      </c>
    </row>
    <row r="72" spans="1:12" x14ac:dyDescent="0.25">
      <c r="A72" s="2" t="s">
        <v>21</v>
      </c>
      <c r="B72" s="2" t="s">
        <v>9</v>
      </c>
      <c r="C72" s="2">
        <v>0</v>
      </c>
      <c r="D72" s="2">
        <v>0</v>
      </c>
      <c r="E72" s="2">
        <v>32</v>
      </c>
      <c r="F72" s="2">
        <v>32</v>
      </c>
      <c r="G72" s="2"/>
      <c r="H72" s="8">
        <v>0.8</v>
      </c>
      <c r="I72" s="3">
        <v>76800</v>
      </c>
      <c r="J72" s="3">
        <v>76800</v>
      </c>
      <c r="K72" s="2">
        <v>5</v>
      </c>
      <c r="L72" s="3">
        <v>15360</v>
      </c>
    </row>
    <row r="73" spans="1:12" x14ac:dyDescent="0.25">
      <c r="A73" s="2" t="s">
        <v>21</v>
      </c>
      <c r="B73" s="2" t="s">
        <v>11</v>
      </c>
      <c r="C73" s="2">
        <v>0</v>
      </c>
      <c r="D73" s="2">
        <v>19</v>
      </c>
      <c r="E73" s="2">
        <v>24</v>
      </c>
      <c r="F73" s="2">
        <v>43</v>
      </c>
      <c r="G73" s="2"/>
      <c r="H73" s="8">
        <v>1.075</v>
      </c>
      <c r="I73" s="3">
        <v>179525</v>
      </c>
      <c r="J73" s="3">
        <v>179522</v>
      </c>
      <c r="K73" s="2">
        <v>7</v>
      </c>
      <c r="L73" s="3">
        <v>25646</v>
      </c>
    </row>
    <row r="74" spans="1:12" x14ac:dyDescent="0.25">
      <c r="A74" s="2" t="s">
        <v>22</v>
      </c>
      <c r="B74" s="2" t="s">
        <v>7</v>
      </c>
      <c r="C74" s="2">
        <v>0</v>
      </c>
      <c r="D74" s="2">
        <v>3</v>
      </c>
      <c r="E74" s="2">
        <v>28</v>
      </c>
      <c r="F74" s="2">
        <v>31</v>
      </c>
      <c r="G74" s="2"/>
      <c r="H74" s="8">
        <v>0.77500000000000002</v>
      </c>
      <c r="I74" s="3">
        <v>76725</v>
      </c>
      <c r="J74" s="3">
        <v>76725</v>
      </c>
      <c r="K74" s="2">
        <v>5</v>
      </c>
      <c r="L74" s="3">
        <v>15345</v>
      </c>
    </row>
    <row r="75" spans="1:12" x14ac:dyDescent="0.25">
      <c r="A75" s="2" t="s">
        <v>22</v>
      </c>
      <c r="B75" s="2" t="s">
        <v>9</v>
      </c>
      <c r="C75" s="2">
        <v>0</v>
      </c>
      <c r="D75" s="2">
        <v>40</v>
      </c>
      <c r="E75" s="2">
        <v>0</v>
      </c>
      <c r="F75" s="2">
        <v>40</v>
      </c>
      <c r="G75" s="2"/>
      <c r="H75" s="8">
        <v>1</v>
      </c>
      <c r="I75" s="3">
        <v>200000</v>
      </c>
      <c r="J75" s="3">
        <v>199998</v>
      </c>
      <c r="K75" s="2">
        <v>6</v>
      </c>
      <c r="L75" s="3">
        <v>33333</v>
      </c>
    </row>
    <row r="76" spans="1:12" x14ac:dyDescent="0.25">
      <c r="A76" s="2" t="s">
        <v>22</v>
      </c>
      <c r="B76" s="2" t="s">
        <v>11</v>
      </c>
      <c r="C76" s="2">
        <v>0</v>
      </c>
      <c r="D76" s="2">
        <v>37</v>
      </c>
      <c r="E76" s="2">
        <v>0</v>
      </c>
      <c r="F76" s="2">
        <v>37</v>
      </c>
      <c r="G76" s="2"/>
      <c r="H76" s="8">
        <v>0.92500000000000004</v>
      </c>
      <c r="I76" s="3">
        <v>171125</v>
      </c>
      <c r="J76" s="3">
        <v>171122</v>
      </c>
      <c r="K76" s="2">
        <v>7</v>
      </c>
      <c r="L76" s="3">
        <v>24446</v>
      </c>
    </row>
    <row r="77" spans="1:12" x14ac:dyDescent="0.25">
      <c r="A77" s="2" t="s">
        <v>23</v>
      </c>
      <c r="B77" s="2" t="s">
        <v>7</v>
      </c>
      <c r="C77" s="2">
        <v>19</v>
      </c>
      <c r="D77" s="2">
        <v>16</v>
      </c>
      <c r="E77" s="2">
        <v>1</v>
      </c>
      <c r="F77" s="2">
        <v>36</v>
      </c>
      <c r="G77" s="2"/>
      <c r="H77" s="8">
        <v>0.9</v>
      </c>
      <c r="I77" s="3">
        <v>211500</v>
      </c>
      <c r="J77" s="3">
        <v>211500</v>
      </c>
      <c r="K77" s="2">
        <v>5</v>
      </c>
      <c r="L77" s="3">
        <v>42300</v>
      </c>
    </row>
    <row r="78" spans="1:12" x14ac:dyDescent="0.25">
      <c r="A78" s="2" t="s">
        <v>23</v>
      </c>
      <c r="B78" s="2" t="s">
        <v>9</v>
      </c>
      <c r="C78" s="2">
        <v>0</v>
      </c>
      <c r="D78" s="2">
        <v>4</v>
      </c>
      <c r="E78" s="2">
        <v>33</v>
      </c>
      <c r="F78" s="2">
        <v>37</v>
      </c>
      <c r="G78" s="2"/>
      <c r="H78" s="8">
        <v>0.92500000000000004</v>
      </c>
      <c r="I78" s="3">
        <v>110075</v>
      </c>
      <c r="J78" s="3">
        <v>110076</v>
      </c>
      <c r="K78" s="2">
        <v>6</v>
      </c>
      <c r="L78" s="3">
        <v>18346</v>
      </c>
    </row>
    <row r="79" spans="1:12" x14ac:dyDescent="0.25">
      <c r="A79" s="2" t="s">
        <v>23</v>
      </c>
      <c r="B79" s="2" t="s">
        <v>11</v>
      </c>
      <c r="C79" s="2">
        <v>0</v>
      </c>
      <c r="D79" s="2">
        <v>13</v>
      </c>
      <c r="E79" s="2">
        <v>0</v>
      </c>
      <c r="F79" s="2">
        <v>13</v>
      </c>
      <c r="G79" s="2"/>
      <c r="H79" s="8">
        <v>0.32500000000000001</v>
      </c>
      <c r="I79" s="3">
        <v>21125</v>
      </c>
      <c r="J79" s="3">
        <v>21128</v>
      </c>
      <c r="K79" s="2">
        <v>8</v>
      </c>
      <c r="L79" s="3">
        <v>2641</v>
      </c>
    </row>
    <row r="80" spans="1:12" x14ac:dyDescent="0.25">
      <c r="A80" s="2" t="s">
        <v>23</v>
      </c>
      <c r="B80" s="2" t="s">
        <v>51</v>
      </c>
      <c r="C80" s="2">
        <v>20</v>
      </c>
      <c r="D80" s="2">
        <v>0</v>
      </c>
      <c r="E80" s="2">
        <v>0</v>
      </c>
      <c r="F80" s="2">
        <v>20</v>
      </c>
      <c r="G80" s="2"/>
      <c r="H80" s="8">
        <v>0.5</v>
      </c>
      <c r="I80" s="3">
        <v>80000</v>
      </c>
      <c r="J80" s="3">
        <v>80000</v>
      </c>
      <c r="K80" s="2">
        <v>8</v>
      </c>
      <c r="L80" s="3">
        <v>10000</v>
      </c>
    </row>
    <row r="81" spans="1:12" x14ac:dyDescent="0.25">
      <c r="A81" s="2" t="s">
        <v>24</v>
      </c>
      <c r="B81" s="2" t="s">
        <v>7</v>
      </c>
      <c r="C81" s="2">
        <v>0</v>
      </c>
      <c r="D81" s="2">
        <v>0</v>
      </c>
      <c r="E81" s="2">
        <v>32</v>
      </c>
      <c r="F81" s="2">
        <v>32</v>
      </c>
      <c r="G81" s="2"/>
      <c r="H81" s="8">
        <v>0.8</v>
      </c>
      <c r="I81" s="3">
        <v>76800</v>
      </c>
      <c r="J81" s="3">
        <v>76800</v>
      </c>
      <c r="K81" s="2">
        <v>6</v>
      </c>
      <c r="L81" s="3">
        <v>12800</v>
      </c>
    </row>
    <row r="82" spans="1:12" x14ac:dyDescent="0.25">
      <c r="A82" s="2" t="s">
        <v>24</v>
      </c>
      <c r="B82" s="2" t="s">
        <v>9</v>
      </c>
      <c r="C82" s="2">
        <v>32.5</v>
      </c>
      <c r="D82" s="2">
        <v>0</v>
      </c>
      <c r="E82" s="2">
        <v>3</v>
      </c>
      <c r="F82" s="2">
        <v>35.5</v>
      </c>
      <c r="G82" s="2"/>
      <c r="H82" s="8">
        <v>0.88749999999999996</v>
      </c>
      <c r="I82" s="3">
        <v>238738</v>
      </c>
      <c r="J82" s="3">
        <v>238740</v>
      </c>
      <c r="K82" s="2">
        <v>6</v>
      </c>
      <c r="L82" s="3">
        <v>39790</v>
      </c>
    </row>
    <row r="83" spans="1:12" x14ac:dyDescent="0.25">
      <c r="A83" s="2" t="s">
        <v>24</v>
      </c>
      <c r="B83" s="2" t="s">
        <v>11</v>
      </c>
      <c r="C83" s="2">
        <v>0</v>
      </c>
      <c r="D83" s="2">
        <v>32</v>
      </c>
      <c r="E83" s="2">
        <v>0</v>
      </c>
      <c r="F83" s="2">
        <v>32</v>
      </c>
      <c r="G83" s="2"/>
      <c r="H83" s="8">
        <v>0.8</v>
      </c>
      <c r="I83" s="3">
        <v>128000</v>
      </c>
      <c r="J83" s="3">
        <v>128000</v>
      </c>
      <c r="K83" s="2">
        <v>8</v>
      </c>
      <c r="L83" s="3">
        <v>16000</v>
      </c>
    </row>
    <row r="84" spans="1:12" x14ac:dyDescent="0.25">
      <c r="A84" s="2" t="s">
        <v>24</v>
      </c>
      <c r="B84" s="2" t="s">
        <v>51</v>
      </c>
      <c r="C84" s="2">
        <v>19</v>
      </c>
      <c r="D84" s="2">
        <v>8</v>
      </c>
      <c r="E84" s="2">
        <v>0</v>
      </c>
      <c r="F84" s="2">
        <v>27</v>
      </c>
      <c r="G84" s="2"/>
      <c r="H84" s="8">
        <v>0.67500000000000004</v>
      </c>
      <c r="I84" s="3">
        <v>129600</v>
      </c>
      <c r="J84" s="3">
        <v>129600</v>
      </c>
      <c r="K84" s="2">
        <v>8</v>
      </c>
      <c r="L84" s="3">
        <v>16200</v>
      </c>
    </row>
    <row r="85" spans="1:12" x14ac:dyDescent="0.25">
      <c r="A85" s="2" t="s">
        <v>25</v>
      </c>
      <c r="B85" s="2" t="s">
        <v>7</v>
      </c>
      <c r="C85" s="2">
        <v>22</v>
      </c>
      <c r="D85" s="2">
        <v>28</v>
      </c>
      <c r="E85" s="2">
        <v>1</v>
      </c>
      <c r="F85" s="2">
        <v>51</v>
      </c>
      <c r="G85" s="2"/>
      <c r="H85" s="8">
        <v>1.2749999999999999</v>
      </c>
      <c r="I85" s="3">
        <v>406725</v>
      </c>
      <c r="J85" s="3">
        <v>406728</v>
      </c>
      <c r="K85" s="2">
        <v>6</v>
      </c>
      <c r="L85" s="3">
        <v>67788</v>
      </c>
    </row>
    <row r="86" spans="1:12" x14ac:dyDescent="0.25">
      <c r="A86" s="2" t="s">
        <v>25</v>
      </c>
      <c r="B86" s="2" t="s">
        <v>9</v>
      </c>
      <c r="C86" s="2">
        <v>0</v>
      </c>
      <c r="D86" s="2">
        <v>16</v>
      </c>
      <c r="E86" s="2">
        <v>24</v>
      </c>
      <c r="F86" s="2">
        <v>40</v>
      </c>
      <c r="G86" s="2"/>
      <c r="H86" s="8">
        <v>1</v>
      </c>
      <c r="I86" s="3">
        <v>152000</v>
      </c>
      <c r="J86" s="3">
        <v>152000</v>
      </c>
      <c r="K86" s="2">
        <v>5</v>
      </c>
      <c r="L86" s="3">
        <v>30400</v>
      </c>
    </row>
    <row r="87" spans="1:12" x14ac:dyDescent="0.25">
      <c r="A87" s="2" t="s">
        <v>25</v>
      </c>
      <c r="B87" s="2" t="s">
        <v>11</v>
      </c>
      <c r="C87" s="2">
        <v>11</v>
      </c>
      <c r="D87" s="2">
        <v>3</v>
      </c>
      <c r="E87" s="2">
        <v>9</v>
      </c>
      <c r="F87" s="2">
        <v>23</v>
      </c>
      <c r="G87" s="2"/>
      <c r="H87" s="8">
        <v>0.57499999999999996</v>
      </c>
      <c r="I87" s="3">
        <v>74750</v>
      </c>
      <c r="J87" s="3">
        <v>74753</v>
      </c>
      <c r="K87" s="2">
        <v>7</v>
      </c>
      <c r="L87" s="3">
        <v>10679</v>
      </c>
    </row>
    <row r="88" spans="1:12" x14ac:dyDescent="0.25">
      <c r="A88" s="2" t="s">
        <v>25</v>
      </c>
      <c r="B88" s="2" t="s">
        <v>51</v>
      </c>
      <c r="C88" s="2">
        <v>0</v>
      </c>
      <c r="D88" s="2">
        <v>17</v>
      </c>
      <c r="E88" s="2">
        <v>8</v>
      </c>
      <c r="F88" s="2">
        <v>25</v>
      </c>
      <c r="G88" s="2"/>
      <c r="H88" s="8">
        <v>0.625</v>
      </c>
      <c r="I88" s="3">
        <v>68125</v>
      </c>
      <c r="J88" s="3">
        <v>68128</v>
      </c>
      <c r="K88" s="2">
        <v>8</v>
      </c>
      <c r="L88" s="3">
        <v>8516</v>
      </c>
    </row>
    <row r="89" spans="1:12" x14ac:dyDescent="0.25">
      <c r="A89" s="2" t="s">
        <v>52</v>
      </c>
      <c r="B89" s="2" t="s">
        <v>7</v>
      </c>
      <c r="C89" s="2">
        <v>0</v>
      </c>
      <c r="D89" s="2">
        <v>7</v>
      </c>
      <c r="E89" s="2">
        <v>14</v>
      </c>
      <c r="F89" s="2">
        <v>21</v>
      </c>
      <c r="G89" s="2"/>
      <c r="H89" s="8">
        <v>0.52500000000000002</v>
      </c>
      <c r="I89" s="3">
        <v>40425</v>
      </c>
      <c r="J89" s="3">
        <v>40425</v>
      </c>
      <c r="K89" s="2">
        <v>7</v>
      </c>
      <c r="L89" s="3">
        <v>5775</v>
      </c>
    </row>
    <row r="90" spans="1:12" x14ac:dyDescent="0.25">
      <c r="A90" s="2" t="s">
        <v>52</v>
      </c>
      <c r="B90" s="2" t="s">
        <v>9</v>
      </c>
      <c r="C90" s="2">
        <v>41</v>
      </c>
      <c r="D90" s="2">
        <v>0</v>
      </c>
      <c r="E90" s="2">
        <v>4</v>
      </c>
      <c r="F90" s="2">
        <v>45</v>
      </c>
      <c r="G90" s="2"/>
      <c r="H90" s="8">
        <v>1.125</v>
      </c>
      <c r="I90" s="3">
        <v>382500</v>
      </c>
      <c r="J90" s="3">
        <v>382500</v>
      </c>
      <c r="K90" s="2">
        <v>5</v>
      </c>
      <c r="L90" s="3">
        <v>76500</v>
      </c>
    </row>
    <row r="91" spans="1:12" x14ac:dyDescent="0.25">
      <c r="A91" s="2" t="s">
        <v>52</v>
      </c>
      <c r="B91" s="2" t="s">
        <v>11</v>
      </c>
      <c r="C91" s="2">
        <v>0</v>
      </c>
      <c r="D91" s="2">
        <v>34</v>
      </c>
      <c r="E91" s="2">
        <v>1</v>
      </c>
      <c r="F91" s="2">
        <v>35</v>
      </c>
      <c r="G91" s="2"/>
      <c r="H91" s="8">
        <v>0.875</v>
      </c>
      <c r="I91" s="3">
        <v>151375</v>
      </c>
      <c r="J91" s="3">
        <v>151376</v>
      </c>
      <c r="K91" s="2">
        <v>8</v>
      </c>
      <c r="L91" s="3">
        <v>18922</v>
      </c>
    </row>
    <row r="92" spans="1:12" x14ac:dyDescent="0.25">
      <c r="A92" s="2" t="s">
        <v>52</v>
      </c>
      <c r="B92" s="2" t="s">
        <v>51</v>
      </c>
      <c r="C92" s="2">
        <v>0</v>
      </c>
      <c r="D92" s="2">
        <v>23</v>
      </c>
      <c r="E92" s="2">
        <v>21</v>
      </c>
      <c r="F92" s="2">
        <v>44</v>
      </c>
      <c r="G92" s="2"/>
      <c r="H92" s="8">
        <v>1.1000000000000001</v>
      </c>
      <c r="I92" s="3">
        <v>195800</v>
      </c>
      <c r="J92" s="3">
        <v>195800</v>
      </c>
      <c r="K92" s="2">
        <v>1</v>
      </c>
      <c r="L92" s="3">
        <v>195800</v>
      </c>
    </row>
    <row r="93" spans="1:12" x14ac:dyDescent="0.25">
      <c r="A93" s="2" t="s">
        <v>53</v>
      </c>
      <c r="B93" s="2" t="s">
        <v>7</v>
      </c>
      <c r="C93" s="2">
        <v>21</v>
      </c>
      <c r="D93" s="2">
        <v>7</v>
      </c>
      <c r="E93" s="2">
        <v>1</v>
      </c>
      <c r="F93" s="2">
        <v>29</v>
      </c>
      <c r="G93" s="2"/>
      <c r="H93" s="8">
        <v>0.72499999999999998</v>
      </c>
      <c r="I93" s="3">
        <v>149350</v>
      </c>
      <c r="J93" s="3">
        <v>149352</v>
      </c>
      <c r="K93" s="2">
        <v>6</v>
      </c>
      <c r="L93" s="3">
        <v>24892</v>
      </c>
    </row>
    <row r="94" spans="1:12" x14ac:dyDescent="0.25">
      <c r="A94" s="2" t="s">
        <v>53</v>
      </c>
      <c r="B94" s="2" t="s">
        <v>9</v>
      </c>
      <c r="C94" s="2">
        <v>0</v>
      </c>
      <c r="D94" s="2">
        <v>19</v>
      </c>
      <c r="E94" s="2">
        <v>11</v>
      </c>
      <c r="F94" s="2">
        <v>30</v>
      </c>
      <c r="G94" s="2"/>
      <c r="H94" s="8">
        <v>0.75</v>
      </c>
      <c r="I94" s="3">
        <v>96000</v>
      </c>
      <c r="J94" s="3">
        <v>96000</v>
      </c>
      <c r="K94" s="2">
        <v>5</v>
      </c>
      <c r="L94" s="3">
        <v>19200</v>
      </c>
    </row>
    <row r="95" spans="1:12" x14ac:dyDescent="0.25">
      <c r="A95" s="2" t="s">
        <v>53</v>
      </c>
      <c r="B95" s="2" t="s">
        <v>11</v>
      </c>
      <c r="C95" s="2">
        <v>29</v>
      </c>
      <c r="D95" s="2">
        <v>6</v>
      </c>
      <c r="E95" s="2">
        <v>0</v>
      </c>
      <c r="F95" s="2">
        <v>35</v>
      </c>
      <c r="G95" s="2"/>
      <c r="H95" s="8">
        <v>0.875</v>
      </c>
      <c r="I95" s="3">
        <v>229250</v>
      </c>
      <c r="J95" s="3">
        <v>229248</v>
      </c>
      <c r="K95" s="2">
        <v>6</v>
      </c>
      <c r="L95" s="3">
        <v>38208</v>
      </c>
    </row>
    <row r="96" spans="1:12" x14ac:dyDescent="0.25">
      <c r="A96" s="2" t="s">
        <v>53</v>
      </c>
      <c r="B96" s="2" t="s">
        <v>51</v>
      </c>
      <c r="C96" s="2">
        <v>0</v>
      </c>
      <c r="D96" s="2">
        <v>5</v>
      </c>
      <c r="E96" s="2">
        <v>25</v>
      </c>
      <c r="F96" s="2">
        <v>30</v>
      </c>
      <c r="G96" s="2"/>
      <c r="H96" s="8">
        <v>0.75</v>
      </c>
      <c r="I96" s="3">
        <v>75000</v>
      </c>
      <c r="J96" s="3">
        <v>75000</v>
      </c>
      <c r="K96" s="2">
        <v>8</v>
      </c>
      <c r="L96" s="3">
        <v>9375</v>
      </c>
    </row>
    <row r="97" spans="1:12" x14ac:dyDescent="0.25">
      <c r="A97" s="2" t="s">
        <v>54</v>
      </c>
      <c r="B97" s="2" t="s">
        <v>11</v>
      </c>
      <c r="C97" s="2">
        <v>0</v>
      </c>
      <c r="D97" s="2">
        <v>15</v>
      </c>
      <c r="E97" s="2">
        <v>6</v>
      </c>
      <c r="F97" s="2">
        <v>21</v>
      </c>
      <c r="G97" s="2"/>
      <c r="H97" s="8">
        <v>0.52500000000000002</v>
      </c>
      <c r="I97" s="3">
        <v>48825</v>
      </c>
      <c r="J97" s="3">
        <v>48828</v>
      </c>
      <c r="K97" s="2">
        <v>6</v>
      </c>
      <c r="L97" s="3">
        <v>8138</v>
      </c>
    </row>
    <row r="98" spans="1:12" x14ac:dyDescent="0.25">
      <c r="A98" s="2" t="s">
        <v>54</v>
      </c>
      <c r="B98" s="2" t="s">
        <v>51</v>
      </c>
      <c r="C98" s="2">
        <v>0</v>
      </c>
      <c r="D98" s="2">
        <v>22</v>
      </c>
      <c r="E98" s="2">
        <v>1</v>
      </c>
      <c r="F98" s="2">
        <v>23</v>
      </c>
      <c r="G98" s="2"/>
      <c r="H98" s="8">
        <v>0.57499999999999996</v>
      </c>
      <c r="I98" s="3">
        <v>64975</v>
      </c>
      <c r="J98" s="3">
        <v>64976</v>
      </c>
      <c r="K98" s="2">
        <v>8</v>
      </c>
      <c r="L98" s="3">
        <v>8122</v>
      </c>
    </row>
    <row r="99" spans="1:12" x14ac:dyDescent="0.25">
      <c r="B99" s="5" t="s">
        <v>26</v>
      </c>
      <c r="I99" s="6">
        <f>SUM(I2:I98)</f>
        <v>13447025</v>
      </c>
      <c r="J99" s="6">
        <f>SUM(J2:J98)</f>
        <v>13447051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zoomScaleNormal="100" workbookViewId="0">
      <pane ySplit="1" topLeftCell="A2" activePane="bottomLeft" state="frozen"/>
      <selection pane="bottomLeft" activeCell="G14" sqref="G14"/>
    </sheetView>
  </sheetViews>
  <sheetFormatPr baseColWidth="10" defaultColWidth="7.83203125" defaultRowHeight="17" x14ac:dyDescent="0.25"/>
  <cols>
    <col min="1" max="1" width="11" customWidth="1"/>
    <col min="2" max="2" width="13.6640625" customWidth="1"/>
    <col min="3" max="3" width="11.83203125" customWidth="1"/>
    <col min="4" max="4" width="20" customWidth="1"/>
    <col min="5" max="5" width="11.83203125" customWidth="1"/>
    <col min="6" max="6" width="13.6640625" customWidth="1"/>
    <col min="7" max="7" width="36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6</v>
      </c>
      <c r="B2" s="2" t="s">
        <v>7</v>
      </c>
      <c r="C2" s="2">
        <v>11</v>
      </c>
      <c r="D2" s="3">
        <f t="shared" ref="D2:D22" si="0">C2*1500</f>
        <v>16500</v>
      </c>
      <c r="E2" s="2">
        <v>6</v>
      </c>
      <c r="F2" s="3">
        <f t="shared" ref="F2:F22" si="1">ROUND(D2/E2,0)</f>
        <v>2750</v>
      </c>
      <c r="G2" s="2" t="s">
        <v>59</v>
      </c>
    </row>
    <row r="3" spans="1:7" x14ac:dyDescent="0.25">
      <c r="A3" s="2" t="s">
        <v>8</v>
      </c>
      <c r="B3" s="2" t="s">
        <v>9</v>
      </c>
      <c r="C3" s="2">
        <v>30</v>
      </c>
      <c r="D3" s="3">
        <f t="shared" si="0"/>
        <v>45000</v>
      </c>
      <c r="E3" s="2">
        <v>6</v>
      </c>
      <c r="F3" s="3">
        <f t="shared" si="1"/>
        <v>7500</v>
      </c>
      <c r="G3" s="2" t="s">
        <v>60</v>
      </c>
    </row>
    <row r="4" spans="1:7" x14ac:dyDescent="0.25">
      <c r="A4" s="2" t="s">
        <v>10</v>
      </c>
      <c r="B4" s="2" t="s">
        <v>7</v>
      </c>
      <c r="C4" s="2">
        <v>35</v>
      </c>
      <c r="D4" s="3">
        <f t="shared" si="0"/>
        <v>52500</v>
      </c>
      <c r="E4" s="2">
        <v>6</v>
      </c>
      <c r="F4" s="3">
        <f t="shared" si="1"/>
        <v>8750</v>
      </c>
      <c r="G4" s="2" t="s">
        <v>61</v>
      </c>
    </row>
    <row r="5" spans="1:7" x14ac:dyDescent="0.25">
      <c r="A5" s="2" t="s">
        <v>10</v>
      </c>
      <c r="B5" s="2" t="s">
        <v>11</v>
      </c>
      <c r="C5" s="2">
        <v>8</v>
      </c>
      <c r="D5" s="3">
        <f t="shared" si="0"/>
        <v>12000</v>
      </c>
      <c r="E5" s="2">
        <v>7</v>
      </c>
      <c r="F5" s="3">
        <f t="shared" si="1"/>
        <v>1714</v>
      </c>
      <c r="G5" s="2" t="s">
        <v>62</v>
      </c>
    </row>
    <row r="6" spans="1:7" x14ac:dyDescent="0.25">
      <c r="A6" s="2" t="s">
        <v>12</v>
      </c>
      <c r="B6" s="2" t="s">
        <v>7</v>
      </c>
      <c r="C6" s="2">
        <v>23</v>
      </c>
      <c r="D6" s="3">
        <f t="shared" si="0"/>
        <v>34500</v>
      </c>
      <c r="E6" s="2">
        <v>6</v>
      </c>
      <c r="F6" s="3">
        <f t="shared" si="1"/>
        <v>5750</v>
      </c>
      <c r="G6" s="2" t="s">
        <v>63</v>
      </c>
    </row>
    <row r="7" spans="1:7" x14ac:dyDescent="0.25">
      <c r="A7" s="2" t="s">
        <v>13</v>
      </c>
      <c r="B7" s="2" t="s">
        <v>9</v>
      </c>
      <c r="C7" s="2">
        <v>16</v>
      </c>
      <c r="D7" s="3">
        <f t="shared" si="0"/>
        <v>24000</v>
      </c>
      <c r="E7" s="2">
        <v>6</v>
      </c>
      <c r="F7" s="3">
        <f t="shared" si="1"/>
        <v>4000</v>
      </c>
      <c r="G7" s="2" t="s">
        <v>64</v>
      </c>
    </row>
    <row r="8" spans="1:7" x14ac:dyDescent="0.25">
      <c r="A8" s="2" t="s">
        <v>14</v>
      </c>
      <c r="B8" s="2" t="s">
        <v>9</v>
      </c>
      <c r="C8" s="2">
        <v>6</v>
      </c>
      <c r="D8" s="3">
        <f t="shared" si="0"/>
        <v>9000</v>
      </c>
      <c r="E8" s="2">
        <v>6</v>
      </c>
      <c r="F8" s="3">
        <f t="shared" si="1"/>
        <v>1500</v>
      </c>
      <c r="G8" s="2" t="s">
        <v>65</v>
      </c>
    </row>
    <row r="9" spans="1:7" x14ac:dyDescent="0.25">
      <c r="A9" s="2" t="s">
        <v>15</v>
      </c>
      <c r="B9" s="2" t="s">
        <v>9</v>
      </c>
      <c r="C9" s="2">
        <v>14</v>
      </c>
      <c r="D9" s="3">
        <f t="shared" si="0"/>
        <v>21000</v>
      </c>
      <c r="E9" s="2">
        <v>5</v>
      </c>
      <c r="F9" s="3">
        <f t="shared" si="1"/>
        <v>4200</v>
      </c>
      <c r="G9" s="2" t="s">
        <v>66</v>
      </c>
    </row>
    <row r="10" spans="1:7" x14ac:dyDescent="0.25">
      <c r="A10" s="2" t="s">
        <v>15</v>
      </c>
      <c r="B10" s="2" t="s">
        <v>11</v>
      </c>
      <c r="C10" s="2">
        <v>10</v>
      </c>
      <c r="D10" s="3">
        <f t="shared" si="0"/>
        <v>15000</v>
      </c>
      <c r="E10" s="2">
        <v>7</v>
      </c>
      <c r="F10" s="3">
        <f t="shared" si="1"/>
        <v>2143</v>
      </c>
      <c r="G10" s="2" t="s">
        <v>67</v>
      </c>
    </row>
    <row r="11" spans="1:7" x14ac:dyDescent="0.25">
      <c r="A11" s="2" t="s">
        <v>16</v>
      </c>
      <c r="B11" s="2" t="s">
        <v>7</v>
      </c>
      <c r="C11" s="2">
        <v>20</v>
      </c>
      <c r="D11" s="3">
        <f t="shared" si="0"/>
        <v>30000</v>
      </c>
      <c r="E11" s="2">
        <v>6</v>
      </c>
      <c r="F11" s="3">
        <f t="shared" si="1"/>
        <v>5000</v>
      </c>
      <c r="G11" s="2" t="s">
        <v>68</v>
      </c>
    </row>
    <row r="12" spans="1:7" x14ac:dyDescent="0.25">
      <c r="A12" s="2" t="s">
        <v>17</v>
      </c>
      <c r="B12" s="2" t="s">
        <v>9</v>
      </c>
      <c r="C12" s="2">
        <v>12</v>
      </c>
      <c r="D12" s="3">
        <f t="shared" si="0"/>
        <v>18000</v>
      </c>
      <c r="E12" s="2">
        <v>6</v>
      </c>
      <c r="F12" s="3">
        <f t="shared" si="1"/>
        <v>3000</v>
      </c>
      <c r="G12" s="2" t="s">
        <v>69</v>
      </c>
    </row>
    <row r="13" spans="1:7" x14ac:dyDescent="0.25">
      <c r="A13" s="2" t="s">
        <v>17</v>
      </c>
      <c r="B13" s="2" t="s">
        <v>11</v>
      </c>
      <c r="C13" s="2">
        <v>21</v>
      </c>
      <c r="D13" s="3">
        <f t="shared" si="0"/>
        <v>31500</v>
      </c>
      <c r="E13" s="2">
        <v>7</v>
      </c>
      <c r="F13" s="3">
        <f t="shared" si="1"/>
        <v>4500</v>
      </c>
      <c r="G13" s="2" t="s">
        <v>70</v>
      </c>
    </row>
    <row r="14" spans="1:7" x14ac:dyDescent="0.25">
      <c r="A14" s="2" t="s">
        <v>18</v>
      </c>
      <c r="B14" s="2" t="s">
        <v>9</v>
      </c>
      <c r="C14" s="2">
        <v>36</v>
      </c>
      <c r="D14" s="3">
        <f t="shared" si="0"/>
        <v>54000</v>
      </c>
      <c r="E14" s="2">
        <v>5</v>
      </c>
      <c r="F14" s="3">
        <f t="shared" si="1"/>
        <v>10800</v>
      </c>
      <c r="G14" s="2" t="s">
        <v>71</v>
      </c>
    </row>
    <row r="15" spans="1:7" x14ac:dyDescent="0.25">
      <c r="A15" s="2" t="s">
        <v>18</v>
      </c>
      <c r="B15" s="2" t="s">
        <v>11</v>
      </c>
      <c r="C15" s="2">
        <v>2</v>
      </c>
      <c r="D15" s="3">
        <f t="shared" si="0"/>
        <v>3000</v>
      </c>
      <c r="E15" s="2">
        <v>7</v>
      </c>
      <c r="F15" s="3">
        <f t="shared" si="1"/>
        <v>429</v>
      </c>
      <c r="G15" s="2" t="s">
        <v>72</v>
      </c>
    </row>
    <row r="16" spans="1:7" x14ac:dyDescent="0.25">
      <c r="A16" s="2" t="s">
        <v>20</v>
      </c>
      <c r="B16" s="2" t="s">
        <v>9</v>
      </c>
      <c r="C16" s="2">
        <v>4</v>
      </c>
      <c r="D16" s="3">
        <f t="shared" si="0"/>
        <v>6000</v>
      </c>
      <c r="E16" s="2">
        <v>6</v>
      </c>
      <c r="F16" s="3">
        <f t="shared" si="1"/>
        <v>1000</v>
      </c>
      <c r="G16" s="2" t="s">
        <v>73</v>
      </c>
    </row>
    <row r="17" spans="1:7" x14ac:dyDescent="0.25">
      <c r="A17" s="2" t="s">
        <v>20</v>
      </c>
      <c r="B17" s="2" t="s">
        <v>7</v>
      </c>
      <c r="C17" s="2">
        <v>36</v>
      </c>
      <c r="D17" s="3">
        <f t="shared" si="0"/>
        <v>54000</v>
      </c>
      <c r="E17" s="2">
        <v>5</v>
      </c>
      <c r="F17" s="3">
        <f t="shared" si="1"/>
        <v>10800</v>
      </c>
      <c r="G17" s="2" t="s">
        <v>74</v>
      </c>
    </row>
    <row r="18" spans="1:7" x14ac:dyDescent="0.25">
      <c r="A18" s="2" t="s">
        <v>21</v>
      </c>
      <c r="B18" s="2" t="s">
        <v>9</v>
      </c>
      <c r="C18" s="2">
        <v>32</v>
      </c>
      <c r="D18" s="3">
        <f t="shared" si="0"/>
        <v>48000</v>
      </c>
      <c r="E18" s="2">
        <v>5</v>
      </c>
      <c r="F18" s="3">
        <f t="shared" si="1"/>
        <v>9600</v>
      </c>
      <c r="G18" s="2" t="s">
        <v>75</v>
      </c>
    </row>
    <row r="19" spans="1:7" x14ac:dyDescent="0.25">
      <c r="A19" s="2" t="s">
        <v>22</v>
      </c>
      <c r="B19" s="2" t="s">
        <v>7</v>
      </c>
      <c r="C19" s="2">
        <v>5</v>
      </c>
      <c r="D19" s="3">
        <f t="shared" si="0"/>
        <v>7500</v>
      </c>
      <c r="E19" s="2">
        <v>5</v>
      </c>
      <c r="F19" s="3">
        <f t="shared" si="1"/>
        <v>1500</v>
      </c>
      <c r="G19" s="2" t="s">
        <v>76</v>
      </c>
    </row>
    <row r="20" spans="1:7" x14ac:dyDescent="0.25">
      <c r="A20" s="2" t="s">
        <v>23</v>
      </c>
      <c r="B20" s="2" t="s">
        <v>9</v>
      </c>
      <c r="C20" s="2">
        <v>33</v>
      </c>
      <c r="D20" s="3">
        <f t="shared" si="0"/>
        <v>49500</v>
      </c>
      <c r="E20" s="2">
        <v>6</v>
      </c>
      <c r="F20" s="3">
        <f t="shared" si="1"/>
        <v>8250</v>
      </c>
      <c r="G20" s="2" t="s">
        <v>77</v>
      </c>
    </row>
    <row r="21" spans="1:7" x14ac:dyDescent="0.25">
      <c r="A21" s="2" t="s">
        <v>24</v>
      </c>
      <c r="B21" s="2" t="s">
        <v>7</v>
      </c>
      <c r="C21" s="2">
        <v>32</v>
      </c>
      <c r="D21" s="3">
        <f t="shared" si="0"/>
        <v>48000</v>
      </c>
      <c r="E21" s="2">
        <v>6</v>
      </c>
      <c r="F21" s="3">
        <f t="shared" si="1"/>
        <v>8000</v>
      </c>
      <c r="G21" s="2" t="s">
        <v>78</v>
      </c>
    </row>
    <row r="22" spans="1:7" x14ac:dyDescent="0.25">
      <c r="A22" s="2" t="s">
        <v>25</v>
      </c>
      <c r="B22" s="2" t="s">
        <v>9</v>
      </c>
      <c r="C22" s="2">
        <v>24</v>
      </c>
      <c r="D22" s="3">
        <f t="shared" si="0"/>
        <v>36000</v>
      </c>
      <c r="E22" s="2">
        <v>5</v>
      </c>
      <c r="F22" s="3">
        <f t="shared" si="1"/>
        <v>7200</v>
      </c>
      <c r="G22" s="2" t="s">
        <v>79</v>
      </c>
    </row>
    <row r="23" spans="1:7" x14ac:dyDescent="0.25">
      <c r="B23" s="5" t="s">
        <v>26</v>
      </c>
      <c r="C23" s="5">
        <f>SUM(C2:C22)</f>
        <v>410</v>
      </c>
      <c r="D23" s="6">
        <f>SUM(D2:D22)</f>
        <v>615000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确认清单1.5倍MW</vt:lpstr>
      <vt:lpstr>班组每日池与出勤基线</vt:lpstr>
      <vt:lpstr>1.5倍增量分摊预览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KEJU</cp:lastModifiedBy>
  <cp:revision>0</cp:revision>
  <dcterms:created xsi:type="dcterms:W3CDTF">2026-10-31T17:07:17Z</dcterms:created>
  <dcterms:modified xsi:type="dcterms:W3CDTF">2026-10-31T17:10:48Z</dcterms:modified>
  <dc:language>zh-CN</dc:language>
</cp:coreProperties>
</file>